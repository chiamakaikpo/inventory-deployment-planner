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Inputs" sheetId="3" state="visible" r:id="rId5"/>
    <sheet name="Stock" sheetId="4" state="visible" r:id="rId6"/>
    <sheet name="Allocation" sheetId="5" state="visible" r:id="rId7"/>
    <sheet name="Transfers" sheetId="6" state="visible" r:id="rId8"/>
  </sheets>
  <definedNames>
    <definedName function="false" hidden="true" localSheetId="4" name="_xlnm._FilterDatabase" vbProcedure="false">Allocation!$A$4:$AI$34</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U4" authorId="0">
      <text>
        <r>
          <rPr>
            <sz val="10"/>
            <rFont val="Arial"/>
            <family val="2"/>
          </rPr>
          <t xml:space="preserve">If the SKU is not short: allocation = need to target.
If short: priority floor first, then the rest in proportion to forecast (BR-02), solved so that all supply is used (depots capped at their need, the rest shared by forecast); rounded down to whole cases.</t>
        </r>
      </text>
    </comment>
  </commentList>
</comments>
</file>

<file path=xl/sharedStrings.xml><?xml version="1.0" encoding="utf-8"?>
<sst xmlns="http://schemas.openxmlformats.org/spreadsheetml/2006/main" count="195" uniqueCount="115">
  <si>
    <t xml:space="preserve">Inventory Deployment Planner</t>
  </si>
  <si>
    <t xml:space="preserve">Portfolio project by Chiamaka Ikpo · synthetic data for a fictional national brewer (5 depots, 6 SKUs)</t>
  </si>
  <si>
    <t xml:space="preserve">What it does</t>
  </si>
  <si>
    <t xml:space="preserve">Takes brewery stock available for deployment and allocates it to depots using agreed rules, then flags exceptions and suggests transfers.</t>
  </si>
  <si>
    <t xml:space="preserve">It replaces judgement-based allocation in spreadsheets with rules everyone has agreed, so planners only review exceptions.</t>
  </si>
  <si>
    <t xml:space="preserve">Business rules</t>
  </si>
  <si>
    <t xml:space="preserve">BR-01  Each depot has a target days-of-cover band per SKU class (fast / medium / slow movers).  → Inputs: cover bands</t>
  </si>
  <si>
    <t xml:space="preserve">BR-02  When supply is short, allocate in proportion to forecast demand, with a minimum floor for priority depots.  → Allocation tab</t>
  </si>
  <si>
    <t xml:space="preserve">BR-03  Suggest an inter-depot transfer only when projected excess at one depot covers a projected shortfall at another within the transfer lead time.  → Transfers tab</t>
  </si>
  <si>
    <t xml:space="preserve">BR-04  A depot/SKU is flagged as an exception when projected cover falls outside its band.  → Allocation tab, Status column</t>
  </si>
  <si>
    <t xml:space="preserve">How to use</t>
  </si>
  <si>
    <t xml:space="preserve">1. Update blue cells on Inputs (bands, supply, priority depots) and Stock (forecast, stock on hand, in transit).</t>
  </si>
  <si>
    <t xml:space="preserve">2. Review Summary: shortages, exceptions and imbalance before vs after deployment.</t>
  </si>
  <si>
    <t xml:space="preserve">3. Review only the exception rows on Allocation and the suggested moves on Transfers.</t>
  </si>
  <si>
    <t xml:space="preserve">Colour key: blue text on cream = input you can change · black = formula, do not overwrite.</t>
  </si>
  <si>
    <t xml:space="preserve">Days of cover = (stock on hand + in transit) ÷ forecast daily demand. Units are cases.</t>
  </si>
  <si>
    <t xml:space="preserve">Deployment summary</t>
  </si>
  <si>
    <t xml:space="preserve">Imbalance index = spread (standard deviation) of days of cover across depots. Lower = stock more evenly placed.</t>
  </si>
  <si>
    <t xml:space="preserve">SKU</t>
  </si>
  <si>
    <t xml:space="preserve">Class</t>
  </si>
  <si>
    <t xml:space="preserve">Supply (cases)</t>
  </si>
  <si>
    <t xml:space="preserve">Total need</t>
  </si>
  <si>
    <t xml:space="preserve">Allocated</t>
  </si>
  <si>
    <t xml:space="preserve">Unallocated</t>
  </si>
  <si>
    <t xml:space="preserve">Short?</t>
  </si>
  <si>
    <t xml:space="preserve">Fill of need</t>
  </si>
  <si>
    <t xml:space="preserve">Imbalance before (days)</t>
  </si>
  <si>
    <t xml:space="preserve">Imbalance after (days)</t>
  </si>
  <si>
    <t xml:space="preserve">Exceptions before</t>
  </si>
  <si>
    <t xml:space="preserve">Exceptions after</t>
  </si>
  <si>
    <t xml:space="preserve">Transfer</t>
  </si>
  <si>
    <t xml:space="preserve">Total</t>
  </si>
  <si>
    <t xml:space="preserve">KPIs for this cycle</t>
  </si>
  <si>
    <t xml:space="preserve">Depot/SKU exceptions to review (of 30)</t>
  </si>
  <si>
    <t xml:space="preserve">Share of rows planners must review (BR-04)</t>
  </si>
  <si>
    <t xml:space="preserve">Average imbalance index before → after (days)</t>
  </si>
  <si>
    <t xml:space="preserve">SKUs short of supply</t>
  </si>
  <si>
    <t xml:space="preserve">Transfers suggested</t>
  </si>
  <si>
    <t xml:space="preserve">Inputs</t>
  </si>
  <si>
    <t xml:space="preserve">Cover bands by SKU class (BR-01), days</t>
  </si>
  <si>
    <t xml:space="preserve">Min cover</t>
  </si>
  <si>
    <t xml:space="preserve">Target cover</t>
  </si>
  <si>
    <t xml:space="preserve">Max cover</t>
  </si>
  <si>
    <t xml:space="preserve">Fast</t>
  </si>
  <si>
    <t xml:space="preserve">Medium</t>
  </si>
  <si>
    <t xml:space="preserve">Slow</t>
  </si>
  <si>
    <t xml:space="preserve">Parameters</t>
  </si>
  <si>
    <t xml:space="preserve">Priority floor (days of forecast) – BR-02</t>
  </si>
  <si>
    <t xml:space="preserve">Inter-depot transfer lead time (days) – BR-03</t>
  </si>
  <si>
    <t xml:space="preserve">Depots</t>
  </si>
  <si>
    <t xml:space="preserve">Depot</t>
  </si>
  <si>
    <t xml:space="preserve">Priority depot? (Y/N)</t>
  </si>
  <si>
    <t xml:space="preserve">Depot North</t>
  </si>
  <si>
    <t xml:space="preserve">N</t>
  </si>
  <si>
    <t xml:space="preserve">Priority depots serve key accounts</t>
  </si>
  <si>
    <t xml:space="preserve">Depot Central</t>
  </si>
  <si>
    <t xml:space="preserve">Y</t>
  </si>
  <si>
    <t xml:space="preserve">Depot South-West</t>
  </si>
  <si>
    <t xml:space="preserve">Depot South-East</t>
  </si>
  <si>
    <t xml:space="preserve">Depot Coastal</t>
  </si>
  <si>
    <t xml:space="preserve">Brewery stock available for deployment this cycle</t>
  </si>
  <si>
    <t xml:space="preserve">Available (cases)</t>
  </si>
  <si>
    <t xml:space="preserve">Lager 60cl bottle</t>
  </si>
  <si>
    <t xml:space="preserve">Lager 33cl can</t>
  </si>
  <si>
    <t xml:space="preserve">Malt drink 33cl can</t>
  </si>
  <si>
    <t xml:space="preserve">Stout 60cl bottle</t>
  </si>
  <si>
    <t xml:space="preserve">Premium lager 33cl bottle</t>
  </si>
  <si>
    <t xml:space="preserve">Shandy 33cl can</t>
  </si>
  <si>
    <t xml:space="preserve">Stock position and forecast by SKU and depot</t>
  </si>
  <si>
    <t xml:space="preserve">Inputs: from the SAP stock and forecast extract at the agreed data cut-off (to-be step 1: Sync).</t>
  </si>
  <si>
    <t xml:space="preserve">Forecast (cases/day)</t>
  </si>
  <si>
    <t xml:space="preserve">Stock on hand</t>
  </si>
  <si>
    <t xml:space="preserve">In transit</t>
  </si>
  <si>
    <t xml:space="preserve">Allocation (BR-02) and exception status (BR-04)</t>
  </si>
  <si>
    <t xml:space="preserve">All formulas. Filter Status ≠ 'Within band' to see only the exceptions planners need to review.</t>
  </si>
  <si>
    <t xml:space="preserve">Priority</t>
  </si>
  <si>
    <t xml:space="preserve">Forecast /day</t>
  </si>
  <si>
    <t xml:space="preserve">Position (SOH + transit)</t>
  </si>
  <si>
    <t xml:space="preserve">Cover now (days)</t>
  </si>
  <si>
    <t xml:space="preserve">Need to target</t>
  </si>
  <si>
    <t xml:space="preserve">SKU supply</t>
  </si>
  <si>
    <t xml:space="preserve">SKU total need</t>
  </si>
  <si>
    <t xml:space="preserve">Priority floor</t>
  </si>
  <si>
    <t xml:space="preserve">SKU floor total</t>
  </si>
  <si>
    <t xml:space="preserve">Floor (scaled)</t>
  </si>
  <si>
    <t xml:space="preserve">Remaining need</t>
  </si>
  <si>
    <t xml:space="preserve">Supply after floors</t>
  </si>
  <si>
    <t xml:space="preserve">Need ÷ forecast</t>
  </si>
  <si>
    <t xml:space="preserve">Use at this ratio</t>
  </si>
  <si>
    <t xml:space="preserve">Ratio that fits</t>
  </si>
  <si>
    <t xml:space="preserve">Allocation</t>
  </si>
  <si>
    <t xml:space="preserve">Projected cover</t>
  </si>
  <si>
    <t xml:space="preserve">Min band</t>
  </si>
  <si>
    <t xml:space="preserve">Max band</t>
  </si>
  <si>
    <t xml:space="preserve">Status</t>
  </si>
  <si>
    <t xml:space="preserve">Status before</t>
  </si>
  <si>
    <t xml:space="preserve">Excess above max</t>
  </si>
  <si>
    <t xml:space="preserve">Shortfall below min</t>
  </si>
  <si>
    <t xml:space="preserve">Key excess</t>
  </si>
  <si>
    <t xml:space="preserve">Key shortfall</t>
  </si>
  <si>
    <t xml:space="preserve">Base ratio</t>
  </si>
  <si>
    <t xml:space="preserve">Use at base</t>
  </si>
  <si>
    <t xml:space="preserve">Forecast above base</t>
  </si>
  <si>
    <t xml:space="preserve">Share ratio (λ)</t>
  </si>
  <si>
    <t xml:space="preserve">Fair share</t>
  </si>
  <si>
    <t xml:space="preserve">Suggested inter-depot transfers (BR-03)</t>
  </si>
  <si>
    <t xml:space="preserve">A transfer is suggested only if the depot with the most excess (above its max band) can cover the depot with the largest shortfall (below its min band), and the transfer arrives before that depot runs out.</t>
  </si>
  <si>
    <t xml:space="preserve">Largest excess (cases)</t>
  </si>
  <si>
    <t xml:space="preserve">From depot</t>
  </si>
  <si>
    <t xml:space="preserve">Largest shortfall (cases)</t>
  </si>
  <si>
    <t xml:space="preserve">To depot</t>
  </si>
  <si>
    <t xml:space="preserve">To-depot projected cover (days)</t>
  </si>
  <si>
    <t xml:space="preserve">Transfer lead time (days)</t>
  </si>
  <si>
    <t xml:space="preserve">Suggestion</t>
  </si>
  <si>
    <t xml:space="preserve">Transfer qty (cases)</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</si>
</sst>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
    <numFmt numFmtId="169"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B6878"/>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A68"/>
        <bgColor rgb="FF333399"/>
      </patternFill>
    </fill>
    <fill>
      <patternFill patternType="solid">
        <fgColor rgb="FFFFF8E1"/>
        <bgColor rgb="FFFBF0D5"/>
      </patternFill>
    </fill>
  </fills>
  <borders count="2">
    <border diagonalUp="false" diagonalDown="false">
      <left/>
      <right/>
      <top/>
      <bottom/>
      <diagonal/>
    </border>
    <border diagonalUp="false" diagonalDown="false">
      <left style="thin">
        <color rgb="FFC4CCD6"/>
      </left>
      <right style="thin">
        <color rgb="FFC4CCD6"/>
      </right>
      <top style="thin">
        <color rgb="FFC4CCD6"/>
      </top>
      <bottom style="thin">
        <color rgb="FFC4CC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ont>
        <name val="Arial"/>
        <charset val="1"/>
        <family val="0"/>
        <b val="1"/>
        <color rgb="FFB42318"/>
      </font>
      <fill>
        <patternFill>
          <bgColor rgb="FFFCE6E4"/>
        </patternFill>
      </fill>
    </dxf>
    <dxf>
      <font>
        <name val="Arial"/>
        <charset val="1"/>
        <family val="0"/>
        <b val="1"/>
        <color rgb="FF1F7A4D"/>
      </font>
      <fill>
        <patternFill>
          <bgColor rgb="FFE2F3EA"/>
        </patternFill>
      </fill>
    </dxf>
    <dxf>
      <fill>
        <patternFill patternType="solid">
          <fgColor rgb="FF1F3A68"/>
          <bgColor rgb="FF000000"/>
        </patternFill>
      </fill>
    </dxf>
    <dxf>
      <fill>
        <patternFill patternType="solid">
          <bgColor rgb="FF000000"/>
        </patternFill>
      </fill>
    </dxf>
    <dxf>
      <fill>
        <patternFill patternType="solid">
          <fgColor rgb="FFFFFFFF"/>
          <bgColor rgb="FF000000"/>
        </patternFill>
      </fill>
    </dxf>
    <dxf>
      <fill>
        <patternFill patternType="solid">
          <fgColor rgb="FFE7EDFA"/>
          <bgColor rgb="FF000000"/>
        </patternFill>
      </fill>
    </dxf>
    <dxf>
      <fill>
        <patternFill patternType="solid">
          <fgColor rgb="FFE2F3EA"/>
          <bgColor rgb="FF000000"/>
        </patternFill>
      </fill>
    </dxf>
    <dxf>
      <fill>
        <patternFill patternType="solid">
          <fgColor rgb="FFFBF0D5"/>
          <bgColor rgb="FF000000"/>
        </patternFill>
      </fill>
    </dxf>
    <dxf>
      <fill>
        <patternFill patternType="solid">
          <fgColor rgb="FFFCE6E4"/>
          <bgColor rgb="FF000000"/>
        </patternFill>
      </fill>
    </dxf>
    <dxf>
      <fill>
        <patternFill patternType="solid">
          <fgColor rgb="FF1F7A4D"/>
          <bgColor rgb="FF000000"/>
        </patternFill>
      </fill>
    </dxf>
    <dxf>
      <fill>
        <patternFill patternType="solid">
          <fgColor rgb="FF9A6300"/>
          <bgColor rgb="FF000000"/>
        </patternFill>
      </fill>
    </dxf>
    <dxf>
      <fill>
        <patternFill patternType="solid">
          <fgColor rgb="FFB42318"/>
          <bgColor rgb="FF000000"/>
        </patternFill>
      </fill>
    </dxf>
    <dxf>
      <font>
        <name val="Arial"/>
        <charset val="1"/>
        <family val="0"/>
        <b val="1"/>
        <color rgb="FF9A6300"/>
      </font>
      <fill>
        <patternFill>
          <bgColor rgb="FFFBF0D5"/>
        </patternFill>
      </fill>
    </dxf>
    <dxf>
      <font>
        <name val="Arial"/>
        <charset val="1"/>
        <family val="0"/>
        <color rgb="FF1F7A4D"/>
      </font>
      <fill>
        <patternFill>
          <bgColor rgb="FFE2F3EA"/>
        </patternFill>
      </fill>
    </dxf>
    <dxf>
      <fill>
        <patternFill>
          <bgColor rgb="FFE7EDF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A6300"/>
      <rgbColor rgb="FF800080"/>
      <rgbColor rgb="FF1F7A4D"/>
      <rgbColor rgb="FFC4CCD6"/>
      <rgbColor rgb="FF808080"/>
      <rgbColor rgb="FF9999FF"/>
      <rgbColor rgb="FF993366"/>
      <rgbColor rgb="FFFFF8E1"/>
      <rgbColor rgb="FFE2F3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DFA"/>
      <rgbColor rgb="FFCCFFCC"/>
      <rgbColor rgb="FFFBF0D5"/>
      <rgbColor rgb="FF99CCFF"/>
      <rgbColor rgb="FFFF99CC"/>
      <rgbColor rgb="FFCC99FF"/>
      <rgbColor rgb="FFFCE6E4"/>
      <rgbColor rgb="FF3366FF"/>
      <rgbColor rgb="FF33CCCC"/>
      <rgbColor rgb="FF99CC00"/>
      <rgbColor rgb="FFFFCC00"/>
      <rgbColor rgb="FFFF9900"/>
      <rgbColor rgb="FFFF6600"/>
      <rgbColor rgb="FF5B6878"/>
      <rgbColor rgb="FF969696"/>
      <rgbColor rgb="FF1F3A68"/>
      <rgbColor rgb="FF339966"/>
      <rgbColor rgb="FF003300"/>
      <rgbColor rgb="FF333300"/>
      <rgbColor rgb="FFB4231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row>
    <row r="8" customFormat="false" ht="15" hidden="false" customHeight="false" outlineLevel="0" collapsed="false">
      <c r="A8" s="4"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4"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row>
    <row r="19" customFormat="false" ht="15" hidden="false" customHeight="false" outlineLevel="0" collapsed="false">
      <c r="A19" s="2" t="s">
        <v>14</v>
      </c>
    </row>
    <row r="20" customFormat="false" ht="15" hidden="false" customHeight="false" outlineLevel="0" collapsed="false">
      <c r="A20"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12"/>
    <col collapsed="false" customWidth="true" hidden="false" outlineLevel="0" max="5" min="4" style="0" width="11"/>
    <col collapsed="false" customWidth="true" hidden="false" outlineLevel="0" max="6" min="6" style="0" width="12"/>
    <col collapsed="false" customWidth="true" hidden="false" outlineLevel="0" max="7" min="7" style="0" width="8"/>
    <col collapsed="false" customWidth="true" hidden="false" outlineLevel="0" max="8" min="8" style="0" width="10"/>
    <col collapsed="false" customWidth="true" hidden="false" outlineLevel="0" max="10" min="9" style="0" width="13"/>
    <col collapsed="false" customWidth="true" hidden="false" outlineLevel="0" max="12" min="11" style="0" width="12"/>
    <col collapsed="false" customWidth="true" hidden="false" outlineLevel="0" max="13" min="13" style="0" width="30"/>
  </cols>
  <sheetData>
    <row r="1" customFormat="false" ht="17.35" hidden="false" customHeight="false" outlineLevel="0" collapsed="false">
      <c r="A1" s="1" t="s">
        <v>16</v>
      </c>
    </row>
    <row r="2" customFormat="false" ht="15" hidden="false" customHeight="false" outlineLevel="0" collapsed="false">
      <c r="A2" s="2" t="s">
        <v>17</v>
      </c>
    </row>
    <row r="4" customFormat="false" ht="42" hidden="false" customHeight="true" outlineLevel="0" collapsed="false">
      <c r="A4" s="5" t="s">
        <v>18</v>
      </c>
      <c r="B4" s="5" t="s">
        <v>19</v>
      </c>
      <c r="C4" s="5" t="s">
        <v>20</v>
      </c>
      <c r="D4" s="5" t="s">
        <v>21</v>
      </c>
      <c r="E4" s="5" t="s">
        <v>22</v>
      </c>
      <c r="F4" s="5" t="s">
        <v>23</v>
      </c>
      <c r="G4" s="5" t="s">
        <v>24</v>
      </c>
      <c r="H4" s="5" t="s">
        <v>25</v>
      </c>
      <c r="I4" s="5" t="s">
        <v>26</v>
      </c>
      <c r="J4" s="5" t="s">
        <v>27</v>
      </c>
      <c r="K4" s="5" t="s">
        <v>28</v>
      </c>
      <c r="L4" s="5" t="s">
        <v>29</v>
      </c>
      <c r="M4" s="5" t="s">
        <v>30</v>
      </c>
    </row>
    <row r="5" customFormat="false" ht="15" hidden="false" customHeight="false" outlineLevel="0" collapsed="false">
      <c r="A5" s="6" t="str">
        <f aca="false">Inputs!A26</f>
        <v>Lager 60cl bottle</v>
      </c>
      <c r="B5" s="6" t="str">
        <f aca="false">Inputs!B26</f>
        <v>Fast</v>
      </c>
      <c r="C5" s="6" t="n">
        <f aca="false">Inputs!C26</f>
        <v>8500</v>
      </c>
      <c r="D5" s="6" t="n">
        <f aca="false">SUMIF(Allocation!$A$5:$A$34,A5,Allocation!$I$5:$I$34)</f>
        <v>10592</v>
      </c>
      <c r="E5" s="6" t="n">
        <f aca="false">SUMIF(Allocation!$A$5:$A$34,A5,Allocation!$U$5:$U$34)</f>
        <v>8498</v>
      </c>
      <c r="F5" s="6" t="n">
        <f aca="false">MAX(0,C5-E5)</f>
        <v>2</v>
      </c>
      <c r="G5" s="6" t="str">
        <f aca="false">IF(D5&gt;C5,"Yes","No")</f>
        <v>Yes</v>
      </c>
      <c r="H5" s="7" t="n">
        <f aca="false">IFERROR(E5/D5,1)</f>
        <v>0.802303625377644</v>
      </c>
      <c r="I5" s="8" t="n">
        <f aca="false">SQRT(SUMPRODUCT((Allocation!$A$5:$A$34=A5)*(Allocation!$G$5:$G$34-AVERAGEIF(Allocation!$A$5:$A$34,A5,Allocation!$G$5:$G$34))^2)/COUNTIF(Allocation!$A$5:$A$34,A5))</f>
        <v>1.38341848138211</v>
      </c>
      <c r="J5" s="8" t="n">
        <f aca="false">SQRT(SUMPRODUCT((Allocation!$A$5:$A$34=A5)*(Allocation!$V$5:$V$34-AVERAGEIF(Allocation!$A$5:$A$34,A5,Allocation!$V$5:$V$34))^2)/COUNTIF(Allocation!$A$5:$A$34,A5))</f>
        <v>0.830180362908777</v>
      </c>
      <c r="K5" s="6" t="n">
        <f aca="false">COUNTIFS(Allocation!$A$5:$A$34,A5,Allocation!$Z$5:$Z$34,"&lt;&gt;Within band")</f>
        <v>2</v>
      </c>
      <c r="L5" s="6" t="n">
        <f aca="false">COUNTIFS(Allocation!$A$5:$A$34,A5,Allocation!$Y$5:$Y$34,"&lt;&gt;Within band")</f>
        <v>0</v>
      </c>
      <c r="M5" s="6" t="str">
        <f aca="false">INDEX(Transfers!$H$5:$H$10,MATCH(A5,Transfers!$A$5:$A$10,0))</f>
        <v>No transfer needed</v>
      </c>
    </row>
    <row r="6" customFormat="false" ht="15" hidden="false" customHeight="false" outlineLevel="0" collapsed="false">
      <c r="A6" s="6" t="str">
        <f aca="false">Inputs!A27</f>
        <v>Lager 33cl can</v>
      </c>
      <c r="B6" s="6" t="str">
        <f aca="false">Inputs!B27</f>
        <v>Fast</v>
      </c>
      <c r="C6" s="6" t="n">
        <f aca="false">Inputs!C27</f>
        <v>11200</v>
      </c>
      <c r="D6" s="6" t="n">
        <f aca="false">SUMIF(Allocation!$A$5:$A$34,A6,Allocation!$I$5:$I$34)</f>
        <v>8621</v>
      </c>
      <c r="E6" s="6" t="n">
        <f aca="false">SUMIF(Allocation!$A$5:$A$34,A6,Allocation!$U$5:$U$34)</f>
        <v>8621</v>
      </c>
      <c r="F6" s="6" t="n">
        <f aca="false">MAX(0,C6-E6)</f>
        <v>2579</v>
      </c>
      <c r="G6" s="6" t="str">
        <f aca="false">IF(D6&gt;C6,"Yes","No")</f>
        <v>No</v>
      </c>
      <c r="H6" s="7" t="n">
        <f aca="false">IFERROR(E6/D6,1)</f>
        <v>1</v>
      </c>
      <c r="I6" s="8" t="n">
        <f aca="false">SQRT(SUMPRODUCT((Allocation!$A$5:$A$34=A6)*(Allocation!$G$5:$G$34-AVERAGEIF(Allocation!$A$5:$A$34,A6,Allocation!$G$5:$G$34))^2)/COUNTIF(Allocation!$A$5:$A$34,A6))</f>
        <v>1.30915054176607</v>
      </c>
      <c r="J6" s="8" t="n">
        <f aca="false">SQRT(SUMPRODUCT((Allocation!$A$5:$A$34=A6)*(Allocation!$V$5:$V$34-AVERAGEIF(Allocation!$A$5:$A$34,A6,Allocation!$V$5:$V$34))^2)/COUNTIF(Allocation!$A$5:$A$34,A6))</f>
        <v>0</v>
      </c>
      <c r="K6" s="6" t="n">
        <f aca="false">COUNTIFS(Allocation!$A$5:$A$34,A6,Allocation!$Z$5:$Z$34,"&lt;&gt;Within band")</f>
        <v>3</v>
      </c>
      <c r="L6" s="6" t="n">
        <f aca="false">COUNTIFS(Allocation!$A$5:$A$34,A6,Allocation!$Y$5:$Y$34,"&lt;&gt;Within band")</f>
        <v>0</v>
      </c>
      <c r="M6" s="6" t="str">
        <f aca="false">INDEX(Transfers!$H$5:$H$10,MATCH(A6,Transfers!$A$5:$A$10,0))</f>
        <v>No transfer needed</v>
      </c>
    </row>
    <row r="7" customFormat="false" ht="15" hidden="false" customHeight="false" outlineLevel="0" collapsed="false">
      <c r="A7" s="6" t="str">
        <f aca="false">Inputs!A28</f>
        <v>Malt drink 33cl can</v>
      </c>
      <c r="B7" s="6" t="str">
        <f aca="false">Inputs!B28</f>
        <v>Medium</v>
      </c>
      <c r="C7" s="6" t="n">
        <f aca="false">Inputs!C28</f>
        <v>5700</v>
      </c>
      <c r="D7" s="6" t="n">
        <f aca="false">SUMIF(Allocation!$A$5:$A$34,A7,Allocation!$I$5:$I$34)</f>
        <v>8195</v>
      </c>
      <c r="E7" s="6" t="n">
        <f aca="false">SUMIF(Allocation!$A$5:$A$34,A7,Allocation!$U$5:$U$34)</f>
        <v>5699</v>
      </c>
      <c r="F7" s="6" t="n">
        <f aca="false">MAX(0,C7-E7)</f>
        <v>1</v>
      </c>
      <c r="G7" s="6" t="str">
        <f aca="false">IF(D7&gt;C7,"Yes","No")</f>
        <v>Yes</v>
      </c>
      <c r="H7" s="7" t="n">
        <f aca="false">IFERROR(E7/D7,1)</f>
        <v>0.6954240390482</v>
      </c>
      <c r="I7" s="8" t="n">
        <f aca="false">SQRT(SUMPRODUCT((Allocation!$A$5:$A$34=A7)*(Allocation!$G$5:$G$34-AVERAGEIF(Allocation!$A$5:$A$34,A7,Allocation!$G$5:$G$34))^2)/COUNTIF(Allocation!$A$5:$A$34,A7))</f>
        <v>7.51087123448031</v>
      </c>
      <c r="J7" s="8" t="n">
        <f aca="false">SQRT(SUMPRODUCT((Allocation!$A$5:$A$34=A7)*(Allocation!$V$5:$V$34-AVERAGEIF(Allocation!$A$5:$A$34,A7,Allocation!$V$5:$V$34))^2)/COUNTIF(Allocation!$A$5:$A$34,A7))</f>
        <v>5.97188813099636</v>
      </c>
      <c r="K7" s="6" t="n">
        <f aca="false">COUNTIFS(Allocation!$A$5:$A$34,A7,Allocation!$Z$5:$Z$34,"&lt;&gt;Within band")</f>
        <v>3</v>
      </c>
      <c r="L7" s="6" t="n">
        <f aca="false">COUNTIFS(Allocation!$A$5:$A$34,A7,Allocation!$Y$5:$Y$34,"&lt;&gt;Within band")</f>
        <v>2</v>
      </c>
      <c r="M7" s="6" t="str">
        <f aca="false">INDEX(Transfers!$H$5:$H$10,MATCH(A7,Transfers!$A$5:$A$10,0))</f>
        <v>Transfer</v>
      </c>
    </row>
    <row r="8" customFormat="false" ht="15" hidden="false" customHeight="false" outlineLevel="0" collapsed="false">
      <c r="A8" s="6" t="str">
        <f aca="false">Inputs!A29</f>
        <v>Stout 60cl bottle</v>
      </c>
      <c r="B8" s="6" t="str">
        <f aca="false">Inputs!B29</f>
        <v>Medium</v>
      </c>
      <c r="C8" s="6" t="n">
        <f aca="false">Inputs!C29</f>
        <v>8700</v>
      </c>
      <c r="D8" s="6" t="n">
        <f aca="false">SUMIF(Allocation!$A$5:$A$34,A8,Allocation!$I$5:$I$34)</f>
        <v>7880</v>
      </c>
      <c r="E8" s="6" t="n">
        <f aca="false">SUMIF(Allocation!$A$5:$A$34,A8,Allocation!$U$5:$U$34)</f>
        <v>7880</v>
      </c>
      <c r="F8" s="6" t="n">
        <f aca="false">MAX(0,C8-E8)</f>
        <v>820</v>
      </c>
      <c r="G8" s="6" t="str">
        <f aca="false">IF(D8&gt;C8,"Yes","No")</f>
        <v>No</v>
      </c>
      <c r="H8" s="7" t="n">
        <f aca="false">IFERROR(E8/D8,1)</f>
        <v>1</v>
      </c>
      <c r="I8" s="8" t="n">
        <f aca="false">SQRT(SUMPRODUCT((Allocation!$A$5:$A$34=A8)*(Allocation!$G$5:$G$34-AVERAGEIF(Allocation!$A$5:$A$34,A8,Allocation!$G$5:$G$34))^2)/COUNTIF(Allocation!$A$5:$A$34,A8))</f>
        <v>9.904695080948</v>
      </c>
      <c r="J8" s="8" t="n">
        <f aca="false">SQRT(SUMPRODUCT((Allocation!$A$5:$A$34=A8)*(Allocation!$V$5:$V$34-AVERAGEIF(Allocation!$A$5:$A$34,A8,Allocation!$V$5:$V$34))^2)/COUNTIF(Allocation!$A$5:$A$34,A8))</f>
        <v>6.71868131868132</v>
      </c>
      <c r="K8" s="6" t="n">
        <f aca="false">COUNTIFS(Allocation!$A$5:$A$34,A8,Allocation!$Z$5:$Z$34,"&lt;&gt;Within band")</f>
        <v>5</v>
      </c>
      <c r="L8" s="6" t="n">
        <f aca="false">COUNTIFS(Allocation!$A$5:$A$34,A8,Allocation!$Y$5:$Y$34,"&lt;&gt;Within band")</f>
        <v>1</v>
      </c>
      <c r="M8" s="6" t="str">
        <f aca="false">INDEX(Transfers!$H$5:$H$10,MATCH(A8,Transfers!$A$5:$A$10,0))</f>
        <v>No transfer needed</v>
      </c>
    </row>
    <row r="9" customFormat="false" ht="15" hidden="false" customHeight="false" outlineLevel="0" collapsed="false">
      <c r="A9" s="6" t="str">
        <f aca="false">Inputs!A30</f>
        <v>Premium lager 33cl bottle</v>
      </c>
      <c r="B9" s="6" t="str">
        <f aca="false">Inputs!B30</f>
        <v>Slow</v>
      </c>
      <c r="C9" s="6" t="n">
        <f aca="false">Inputs!C30</f>
        <v>2000</v>
      </c>
      <c r="D9" s="6" t="n">
        <f aca="false">SUMIF(Allocation!$A$5:$A$34,A9,Allocation!$I$5:$I$34)</f>
        <v>2204</v>
      </c>
      <c r="E9" s="6" t="n">
        <f aca="false">SUMIF(Allocation!$A$5:$A$34,A9,Allocation!$U$5:$U$34)</f>
        <v>2000</v>
      </c>
      <c r="F9" s="6" t="n">
        <f aca="false">MAX(0,C9-E9)</f>
        <v>0</v>
      </c>
      <c r="G9" s="6" t="str">
        <f aca="false">IF(D9&gt;C9,"Yes","No")</f>
        <v>Yes</v>
      </c>
      <c r="H9" s="7" t="n">
        <f aca="false">IFERROR(E9/D9,1)</f>
        <v>0.907441016333938</v>
      </c>
      <c r="I9" s="8" t="n">
        <f aca="false">SQRT(SUMPRODUCT((Allocation!$A$5:$A$34=A9)*(Allocation!$G$5:$G$34-AVERAGEIF(Allocation!$A$5:$A$34,A9,Allocation!$G$5:$G$34))^2)/COUNTIF(Allocation!$A$5:$A$34,A9))</f>
        <v>9.18219566020385</v>
      </c>
      <c r="J9" s="8" t="n">
        <f aca="false">SQRT(SUMPRODUCT((Allocation!$A$5:$A$34=A9)*(Allocation!$V$5:$V$34-AVERAGEIF(Allocation!$A$5:$A$34,A9,Allocation!$V$5:$V$34))^2)/COUNTIF(Allocation!$A$5:$A$34,A9))</f>
        <v>7.46123321630099</v>
      </c>
      <c r="K9" s="6" t="n">
        <f aca="false">COUNTIFS(Allocation!$A$5:$A$34,A9,Allocation!$Z$5:$Z$34,"&lt;&gt;Within band")</f>
        <v>1</v>
      </c>
      <c r="L9" s="6" t="n">
        <f aca="false">COUNTIFS(Allocation!$A$5:$A$34,A9,Allocation!$Y$5:$Y$34,"&lt;&gt;Within band")</f>
        <v>1</v>
      </c>
      <c r="M9" s="6" t="str">
        <f aca="false">INDEX(Transfers!$H$5:$H$10,MATCH(A9,Transfers!$A$5:$A$10,0))</f>
        <v>No transfer needed</v>
      </c>
    </row>
    <row r="10" customFormat="false" ht="15" hidden="false" customHeight="false" outlineLevel="0" collapsed="false">
      <c r="A10" s="6" t="str">
        <f aca="false">Inputs!A31</f>
        <v>Shandy 33cl can</v>
      </c>
      <c r="B10" s="6" t="str">
        <f aca="false">Inputs!B31</f>
        <v>Slow</v>
      </c>
      <c r="C10" s="6" t="n">
        <f aca="false">Inputs!C31</f>
        <v>4300</v>
      </c>
      <c r="D10" s="6" t="n">
        <f aca="false">SUMIF(Allocation!$A$5:$A$34,A10,Allocation!$I$5:$I$34)</f>
        <v>2887</v>
      </c>
      <c r="E10" s="6" t="n">
        <f aca="false">SUMIF(Allocation!$A$5:$A$34,A10,Allocation!$U$5:$U$34)</f>
        <v>2887</v>
      </c>
      <c r="F10" s="6" t="n">
        <f aca="false">MAX(0,C10-E10)</f>
        <v>1413</v>
      </c>
      <c r="G10" s="6" t="str">
        <f aca="false">IF(D10&gt;C10,"Yes","No")</f>
        <v>No</v>
      </c>
      <c r="H10" s="7" t="n">
        <f aca="false">IFERROR(E10/D10,1)</f>
        <v>1</v>
      </c>
      <c r="I10" s="8" t="n">
        <f aca="false">SQRT(SUMPRODUCT((Allocation!$A$5:$A$34=A10)*(Allocation!$G$5:$G$34-AVERAGEIF(Allocation!$A$5:$A$34,A10,Allocation!$G$5:$G$34))^2)/COUNTIF(Allocation!$A$5:$A$34,A10))</f>
        <v>1.93458613678158</v>
      </c>
      <c r="J10" s="8" t="n">
        <f aca="false">SQRT(SUMPRODUCT((Allocation!$A$5:$A$34=A10)*(Allocation!$V$5:$V$34-AVERAGEIF(Allocation!$A$5:$A$34,A10,Allocation!$V$5:$V$34))^2)/COUNTIF(Allocation!$A$5:$A$34,A10))</f>
        <v>0</v>
      </c>
      <c r="K10" s="6" t="n">
        <f aca="false">COUNTIFS(Allocation!$A$5:$A$34,A10,Allocation!$Z$5:$Z$34,"&lt;&gt;Within band")</f>
        <v>3</v>
      </c>
      <c r="L10" s="6" t="n">
        <f aca="false">COUNTIFS(Allocation!$A$5:$A$34,A10,Allocation!$Y$5:$Y$34,"&lt;&gt;Within band")</f>
        <v>0</v>
      </c>
      <c r="M10" s="6" t="str">
        <f aca="false">INDEX(Transfers!$H$5:$H$10,MATCH(A10,Transfers!$A$5:$A$10,0))</f>
        <v>No transfer needed</v>
      </c>
    </row>
    <row r="11" customFormat="false" ht="15" hidden="false" customHeight="false" outlineLevel="0" collapsed="false">
      <c r="A11" s="4" t="s">
        <v>31</v>
      </c>
      <c r="C11" s="9" t="n">
        <f aca="false">SUM(C5:C10)</f>
        <v>40400</v>
      </c>
      <c r="D11" s="9" t="n">
        <f aca="false">SUM(D5:D10)</f>
        <v>40379</v>
      </c>
      <c r="E11" s="9" t="n">
        <f aca="false">SUM(E5:E10)</f>
        <v>35585</v>
      </c>
      <c r="F11" s="9" t="n">
        <f aca="false">SUM(F5:F10)</f>
        <v>4815</v>
      </c>
      <c r="H11" s="10" t="n">
        <f aca="false">IFERROR(E11/D11,1)</f>
        <v>0.881274920131752</v>
      </c>
      <c r="I11" s="11" t="n">
        <f aca="false">AVERAGE(I5:I10)</f>
        <v>5.20415285592699</v>
      </c>
      <c r="J11" s="11" t="n">
        <f aca="false">AVERAGE(J5:J10)</f>
        <v>3.49699717148124</v>
      </c>
      <c r="K11" s="9" t="n">
        <f aca="false">SUM(K5:K10)</f>
        <v>17</v>
      </c>
      <c r="L11" s="9" t="n">
        <f aca="false">SUM(L5:L10)</f>
        <v>4</v>
      </c>
    </row>
    <row r="14" customFormat="false" ht="15" hidden="false" customHeight="false" outlineLevel="0" collapsed="false">
      <c r="A14" s="4" t="s">
        <v>32</v>
      </c>
    </row>
    <row r="15" customFormat="false" ht="15" hidden="false" customHeight="false" outlineLevel="0" collapsed="false">
      <c r="A15" s="3" t="s">
        <v>33</v>
      </c>
      <c r="C15" s="9" t="n">
        <f aca="false">L11</f>
        <v>4</v>
      </c>
    </row>
    <row r="16" customFormat="false" ht="15" hidden="false" customHeight="false" outlineLevel="0" collapsed="false">
      <c r="A16" s="3" t="s">
        <v>34</v>
      </c>
      <c r="C16" s="12" t="n">
        <f aca="false">L11/COUNTA(Allocation!$A$5:$A$34)</f>
        <v>0.133333333333333</v>
      </c>
    </row>
    <row r="17" customFormat="false" ht="15" hidden="false" customHeight="false" outlineLevel="0" collapsed="false">
      <c r="A17" s="3" t="s">
        <v>35</v>
      </c>
      <c r="C17" s="13" t="str">
        <f aca="false">TEXT(I11,"0.0")&amp;" → "&amp;TEXT(J11,"0.0")</f>
        <v>5.2 → 3.5</v>
      </c>
    </row>
    <row r="18" customFormat="false" ht="15" hidden="false" customHeight="false" outlineLevel="0" collapsed="false">
      <c r="A18" s="3" t="s">
        <v>36</v>
      </c>
      <c r="C18" s="9" t="n">
        <f aca="false">COUNTIF(G5:G10,"Yes")</f>
        <v>3</v>
      </c>
    </row>
    <row r="19" customFormat="false" ht="15" hidden="false" customHeight="false" outlineLevel="0" collapsed="false">
      <c r="A19" s="3" t="s">
        <v>37</v>
      </c>
      <c r="C19" s="9" t="n">
        <f aca="false">COUNTIF(M5:M10,"Transfer")</f>
        <v>1</v>
      </c>
    </row>
  </sheetData>
  <conditionalFormatting sqref="G5:G10">
    <cfRule type="cellIs" priority="2" operator="equal" aboveAverage="0" equalAverage="0" bottom="0" percent="0" rank="0" text="" dxfId="0">
      <formula>"Yes"</formula>
    </cfRule>
  </conditionalFormatting>
  <conditionalFormatting sqref="M5:M10">
    <cfRule type="cellIs" priority="3" operator="equal" aboveAverage="0" equalAverage="0" bottom="0" percent="0" rank="0" text="" dxfId="1">
      <formula>"Transfer"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8"/>
    <col collapsed="false" customWidth="true" hidden="false" outlineLevel="0" max="4" min="4" style="0" width="14"/>
  </cols>
  <sheetData>
    <row r="1" customFormat="false" ht="17.35" hidden="false" customHeight="false" outlineLevel="0" collapsed="false">
      <c r="A1" s="1" t="s">
        <v>38</v>
      </c>
    </row>
    <row r="3" customFormat="false" ht="15" hidden="false" customHeight="false" outlineLevel="0" collapsed="false">
      <c r="A3" s="4" t="s">
        <v>39</v>
      </c>
    </row>
    <row r="4" customFormat="false" ht="15" hidden="false" customHeight="false" outlineLevel="0" collapsed="false">
      <c r="A4" s="5" t="s">
        <v>19</v>
      </c>
      <c r="B4" s="5" t="s">
        <v>40</v>
      </c>
      <c r="C4" s="5" t="s">
        <v>41</v>
      </c>
      <c r="D4" s="5" t="s">
        <v>42</v>
      </c>
    </row>
    <row r="5" customFormat="false" ht="15" hidden="false" customHeight="false" outlineLevel="0" collapsed="false">
      <c r="A5" s="14" t="s">
        <v>43</v>
      </c>
      <c r="B5" s="15" t="n">
        <v>5</v>
      </c>
      <c r="C5" s="15" t="n">
        <v>8</v>
      </c>
      <c r="D5" s="15" t="n">
        <v>12</v>
      </c>
    </row>
    <row r="6" customFormat="false" ht="15" hidden="false" customHeight="false" outlineLevel="0" collapsed="false">
      <c r="A6" s="14" t="s">
        <v>44</v>
      </c>
      <c r="B6" s="15" t="n">
        <v>7</v>
      </c>
      <c r="C6" s="15" t="n">
        <v>12</v>
      </c>
      <c r="D6" s="15" t="n">
        <v>18</v>
      </c>
    </row>
    <row r="7" customFormat="false" ht="15" hidden="false" customHeight="false" outlineLevel="0" collapsed="false">
      <c r="A7" s="14" t="s">
        <v>45</v>
      </c>
      <c r="B7" s="15" t="n">
        <v>10</v>
      </c>
      <c r="C7" s="15" t="n">
        <v>18</v>
      </c>
      <c r="D7" s="15" t="n">
        <v>28</v>
      </c>
    </row>
    <row r="10" customFormat="false" ht="15" hidden="false" customHeight="false" outlineLevel="0" collapsed="false">
      <c r="A10" s="4" t="s">
        <v>46</v>
      </c>
    </row>
    <row r="11" customFormat="false" ht="15" hidden="false" customHeight="false" outlineLevel="0" collapsed="false">
      <c r="A11" s="3" t="s">
        <v>47</v>
      </c>
      <c r="B11" s="15" t="n">
        <v>3</v>
      </c>
    </row>
    <row r="12" customFormat="false" ht="15" hidden="false" customHeight="false" outlineLevel="0" collapsed="false">
      <c r="A12" s="3" t="s">
        <v>48</v>
      </c>
      <c r="B12" s="15" t="n">
        <v>2</v>
      </c>
    </row>
    <row r="15" customFormat="false" ht="15" hidden="false" customHeight="false" outlineLevel="0" collapsed="false">
      <c r="A15" s="4" t="s">
        <v>49</v>
      </c>
    </row>
    <row r="16" customFormat="false" ht="15" hidden="false" customHeight="false" outlineLevel="0" collapsed="false">
      <c r="A16" s="5" t="s">
        <v>50</v>
      </c>
      <c r="B16" s="5" t="s">
        <v>51</v>
      </c>
    </row>
    <row r="17" customFormat="false" ht="15" hidden="false" customHeight="false" outlineLevel="0" collapsed="false">
      <c r="A17" s="3" t="s">
        <v>52</v>
      </c>
      <c r="B17" s="15" t="s">
        <v>53</v>
      </c>
      <c r="C17" s="2" t="s">
        <v>54</v>
      </c>
    </row>
    <row r="18" customFormat="false" ht="15" hidden="false" customHeight="false" outlineLevel="0" collapsed="false">
      <c r="A18" s="3" t="s">
        <v>55</v>
      </c>
      <c r="B18" s="15" t="s">
        <v>56</v>
      </c>
    </row>
    <row r="19" customFormat="false" ht="15" hidden="false" customHeight="false" outlineLevel="0" collapsed="false">
      <c r="A19" s="3" t="s">
        <v>57</v>
      </c>
      <c r="B19" s="15" t="s">
        <v>56</v>
      </c>
    </row>
    <row r="20" customFormat="false" ht="15" hidden="false" customHeight="false" outlineLevel="0" collapsed="false">
      <c r="A20" s="3" t="s">
        <v>58</v>
      </c>
      <c r="B20" s="15" t="s">
        <v>53</v>
      </c>
    </row>
    <row r="21" customFormat="false" ht="15" hidden="false" customHeight="false" outlineLevel="0" collapsed="false">
      <c r="A21" s="3" t="s">
        <v>59</v>
      </c>
      <c r="B21" s="15" t="s">
        <v>53</v>
      </c>
    </row>
    <row r="24" customFormat="false" ht="15" hidden="false" customHeight="false" outlineLevel="0" collapsed="false">
      <c r="A24" s="4" t="s">
        <v>60</v>
      </c>
    </row>
    <row r="25" customFormat="false" ht="15" hidden="false" customHeight="false" outlineLevel="0" collapsed="false">
      <c r="A25" s="5" t="s">
        <v>18</v>
      </c>
      <c r="B25" s="5" t="s">
        <v>19</v>
      </c>
      <c r="C25" s="5" t="s">
        <v>61</v>
      </c>
    </row>
    <row r="26" customFormat="false" ht="15" hidden="false" customHeight="false" outlineLevel="0" collapsed="false">
      <c r="A26" s="3" t="s">
        <v>62</v>
      </c>
      <c r="B26" s="15" t="s">
        <v>43</v>
      </c>
      <c r="C26" s="16" t="n">
        <v>8500</v>
      </c>
    </row>
    <row r="27" customFormat="false" ht="15" hidden="false" customHeight="false" outlineLevel="0" collapsed="false">
      <c r="A27" s="3" t="s">
        <v>63</v>
      </c>
      <c r="B27" s="15" t="s">
        <v>43</v>
      </c>
      <c r="C27" s="16" t="n">
        <v>11200</v>
      </c>
    </row>
    <row r="28" customFormat="false" ht="15" hidden="false" customHeight="false" outlineLevel="0" collapsed="false">
      <c r="A28" s="3" t="s">
        <v>64</v>
      </c>
      <c r="B28" s="15" t="s">
        <v>44</v>
      </c>
      <c r="C28" s="16" t="n">
        <v>5700</v>
      </c>
    </row>
    <row r="29" customFormat="false" ht="15" hidden="false" customHeight="false" outlineLevel="0" collapsed="false">
      <c r="A29" s="3" t="s">
        <v>65</v>
      </c>
      <c r="B29" s="15" t="s">
        <v>44</v>
      </c>
      <c r="C29" s="16" t="n">
        <v>8700</v>
      </c>
    </row>
    <row r="30" customFormat="false" ht="15" hidden="false" customHeight="false" outlineLevel="0" collapsed="false">
      <c r="A30" s="3" t="s">
        <v>66</v>
      </c>
      <c r="B30" s="15" t="s">
        <v>45</v>
      </c>
      <c r="C30" s="16" t="n">
        <v>2000</v>
      </c>
    </row>
    <row r="31" customFormat="false" ht="15" hidden="false" customHeight="false" outlineLevel="0" collapsed="false">
      <c r="A31" s="3" t="s">
        <v>67</v>
      </c>
      <c r="B31" s="15" t="s">
        <v>45</v>
      </c>
      <c r="C31" s="16" t="n">
        <v>4300</v>
      </c>
    </row>
  </sheetData>
  <dataValidations count="2">
    <dataValidation allowBlank="false" errorStyle="stop" operator="between" showDropDown="false" showErrorMessage="false" showInputMessage="false" sqref="B17:B21" type="list">
      <formula1>"Y,N"</formula1>
      <formula2>0</formula2>
    </dataValidation>
    <dataValidation allowBlank="false" errorStyle="stop" operator="between" showDropDown="false" showErrorMessage="false" showInputMessage="false" sqref="B26:B31" type="list">
      <formula1>"Fast,Medium,Slow"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8"/>
    <col collapsed="false" customWidth="true" hidden="false" outlineLevel="0" max="4" min="4" style="0" width="15"/>
    <col collapsed="false" customWidth="true" hidden="false" outlineLevel="0" max="5" min="5" style="0" width="13"/>
  </cols>
  <sheetData>
    <row r="1" customFormat="false" ht="17.35" hidden="false" customHeight="false" outlineLevel="0" collapsed="false">
      <c r="A1" s="1" t="s">
        <v>68</v>
      </c>
    </row>
    <row r="2" customFormat="false" ht="15" hidden="false" customHeight="false" outlineLevel="0" collapsed="false">
      <c r="A2" s="2" t="s">
        <v>69</v>
      </c>
    </row>
    <row r="4" customFormat="false" ht="23.85" hidden="false" customHeight="false" outlineLevel="0" collapsed="false">
      <c r="A4" s="5" t="s">
        <v>18</v>
      </c>
      <c r="B4" s="5" t="s">
        <v>50</v>
      </c>
      <c r="C4" s="5" t="s">
        <v>70</v>
      </c>
      <c r="D4" s="5" t="s">
        <v>71</v>
      </c>
      <c r="E4" s="5" t="s">
        <v>72</v>
      </c>
    </row>
    <row r="5" customFormat="false" ht="15" hidden="false" customHeight="false" outlineLevel="0" collapsed="false">
      <c r="A5" s="14" t="s">
        <v>62</v>
      </c>
      <c r="B5" s="14" t="s">
        <v>52</v>
      </c>
      <c r="C5" s="16" t="n">
        <v>654</v>
      </c>
      <c r="D5" s="16" t="n">
        <v>3269</v>
      </c>
      <c r="E5" s="16" t="n">
        <v>1090</v>
      </c>
    </row>
    <row r="6" customFormat="false" ht="15" hidden="false" customHeight="false" outlineLevel="0" collapsed="false">
      <c r="A6" s="14" t="s">
        <v>62</v>
      </c>
      <c r="B6" s="14" t="s">
        <v>55</v>
      </c>
      <c r="C6" s="16" t="n">
        <v>974</v>
      </c>
      <c r="D6" s="16" t="n">
        <v>2316</v>
      </c>
      <c r="E6" s="16" t="n">
        <v>772</v>
      </c>
    </row>
    <row r="7" customFormat="false" ht="15" hidden="false" customHeight="false" outlineLevel="0" collapsed="false">
      <c r="A7" s="14" t="s">
        <v>62</v>
      </c>
      <c r="B7" s="14" t="s">
        <v>57</v>
      </c>
      <c r="C7" s="16" t="n">
        <v>1184</v>
      </c>
      <c r="D7" s="16" t="n">
        <v>5810</v>
      </c>
      <c r="E7" s="16" t="n">
        <v>1937</v>
      </c>
    </row>
    <row r="8" customFormat="false" ht="15" hidden="false" customHeight="false" outlineLevel="0" collapsed="false">
      <c r="A8" s="14" t="s">
        <v>62</v>
      </c>
      <c r="B8" s="14" t="s">
        <v>58</v>
      </c>
      <c r="C8" s="16" t="n">
        <v>690</v>
      </c>
      <c r="D8" s="16" t="n">
        <v>3245</v>
      </c>
      <c r="E8" s="16" t="n">
        <v>1082</v>
      </c>
    </row>
    <row r="9" customFormat="false" ht="15" hidden="false" customHeight="false" outlineLevel="0" collapsed="false">
      <c r="A9" s="14" t="s">
        <v>62</v>
      </c>
      <c r="B9" s="14" t="s">
        <v>59</v>
      </c>
      <c r="C9" s="16" t="n">
        <v>588</v>
      </c>
      <c r="D9" s="16" t="n">
        <v>1955</v>
      </c>
      <c r="E9" s="16" t="n">
        <v>652</v>
      </c>
    </row>
    <row r="10" customFormat="false" ht="15" hidden="false" customHeight="false" outlineLevel="0" collapsed="false">
      <c r="A10" s="14" t="s">
        <v>63</v>
      </c>
      <c r="B10" s="14" t="s">
        <v>52</v>
      </c>
      <c r="C10" s="16" t="n">
        <v>428</v>
      </c>
      <c r="D10" s="16" t="n">
        <v>1107</v>
      </c>
      <c r="E10" s="16" t="n">
        <v>369</v>
      </c>
    </row>
    <row r="11" customFormat="false" ht="15" hidden="false" customHeight="false" outlineLevel="0" collapsed="false">
      <c r="A11" s="14" t="s">
        <v>63</v>
      </c>
      <c r="B11" s="14" t="s">
        <v>55</v>
      </c>
      <c r="C11" s="16" t="n">
        <v>602</v>
      </c>
      <c r="D11" s="16" t="n">
        <v>1948</v>
      </c>
      <c r="E11" s="16" t="n">
        <v>649</v>
      </c>
    </row>
    <row r="12" customFormat="false" ht="15" hidden="false" customHeight="false" outlineLevel="0" collapsed="false">
      <c r="A12" s="14" t="s">
        <v>63</v>
      </c>
      <c r="B12" s="14" t="s">
        <v>57</v>
      </c>
      <c r="C12" s="16" t="n">
        <v>911</v>
      </c>
      <c r="D12" s="16" t="n">
        <v>3333</v>
      </c>
      <c r="E12" s="16" t="n">
        <v>1111</v>
      </c>
    </row>
    <row r="13" customFormat="false" ht="15" hidden="false" customHeight="false" outlineLevel="0" collapsed="false">
      <c r="A13" s="14" t="s">
        <v>63</v>
      </c>
      <c r="B13" s="14" t="s">
        <v>58</v>
      </c>
      <c r="C13" s="16" t="n">
        <v>672</v>
      </c>
      <c r="D13" s="16" t="n">
        <v>3085</v>
      </c>
      <c r="E13" s="16" t="n">
        <v>1028</v>
      </c>
    </row>
    <row r="14" customFormat="false" ht="15" hidden="false" customHeight="false" outlineLevel="0" collapsed="false">
      <c r="A14" s="14" t="s">
        <v>63</v>
      </c>
      <c r="B14" s="14" t="s">
        <v>59</v>
      </c>
      <c r="C14" s="16" t="n">
        <v>404</v>
      </c>
      <c r="D14" s="16" t="n">
        <v>2164</v>
      </c>
      <c r="E14" s="16" t="n">
        <v>721</v>
      </c>
    </row>
    <row r="15" customFormat="false" ht="15" hidden="false" customHeight="false" outlineLevel="0" collapsed="false">
      <c r="A15" s="14" t="s">
        <v>64</v>
      </c>
      <c r="B15" s="14" t="s">
        <v>52</v>
      </c>
      <c r="C15" s="16" t="n">
        <v>243</v>
      </c>
      <c r="D15" s="16" t="n">
        <v>774</v>
      </c>
      <c r="E15" s="16" t="n">
        <v>258</v>
      </c>
    </row>
    <row r="16" customFormat="false" ht="15" hidden="false" customHeight="false" outlineLevel="0" collapsed="false">
      <c r="A16" s="14" t="s">
        <v>64</v>
      </c>
      <c r="B16" s="14" t="s">
        <v>55</v>
      </c>
      <c r="C16" s="16" t="n">
        <v>393</v>
      </c>
      <c r="D16" s="16" t="n">
        <v>985</v>
      </c>
      <c r="E16" s="16" t="n">
        <v>328</v>
      </c>
    </row>
    <row r="17" customFormat="false" ht="15" hidden="false" customHeight="false" outlineLevel="0" collapsed="false">
      <c r="A17" s="14" t="s">
        <v>64</v>
      </c>
      <c r="B17" s="14" t="s">
        <v>57</v>
      </c>
      <c r="C17" s="16" t="n">
        <v>458</v>
      </c>
      <c r="D17" s="16" t="n">
        <v>2410</v>
      </c>
      <c r="E17" s="16" t="n">
        <v>803</v>
      </c>
    </row>
    <row r="18" customFormat="false" ht="15" hidden="false" customHeight="false" outlineLevel="0" collapsed="false">
      <c r="A18" s="14" t="s">
        <v>64</v>
      </c>
      <c r="B18" s="14" t="s">
        <v>58</v>
      </c>
      <c r="C18" s="16" t="n">
        <v>339</v>
      </c>
      <c r="D18" s="16" t="n">
        <v>2582</v>
      </c>
      <c r="E18" s="16" t="n">
        <v>861</v>
      </c>
    </row>
    <row r="19" customFormat="false" ht="15" hidden="false" customHeight="false" outlineLevel="0" collapsed="false">
      <c r="A19" s="14" t="s">
        <v>64</v>
      </c>
      <c r="B19" s="14" t="s">
        <v>59</v>
      </c>
      <c r="C19" s="16" t="n">
        <v>237</v>
      </c>
      <c r="D19" s="16" t="n">
        <v>4266</v>
      </c>
      <c r="E19" s="16" t="n">
        <v>1422</v>
      </c>
    </row>
    <row r="20" customFormat="false" ht="15" hidden="false" customHeight="false" outlineLevel="0" collapsed="false">
      <c r="A20" s="14" t="s">
        <v>65</v>
      </c>
      <c r="B20" s="14" t="s">
        <v>52</v>
      </c>
      <c r="C20" s="16" t="n">
        <v>182</v>
      </c>
      <c r="D20" s="16" t="n">
        <v>3931</v>
      </c>
      <c r="E20" s="16" t="n">
        <v>1310</v>
      </c>
    </row>
    <row r="21" customFormat="false" ht="15" hidden="false" customHeight="false" outlineLevel="0" collapsed="false">
      <c r="A21" s="14" t="s">
        <v>65</v>
      </c>
      <c r="B21" s="14" t="s">
        <v>55</v>
      </c>
      <c r="C21" s="16" t="n">
        <v>222</v>
      </c>
      <c r="D21" s="16" t="n">
        <v>749</v>
      </c>
      <c r="E21" s="16" t="n">
        <v>250</v>
      </c>
    </row>
    <row r="22" customFormat="false" ht="15" hidden="false" customHeight="false" outlineLevel="0" collapsed="false">
      <c r="A22" s="14" t="s">
        <v>65</v>
      </c>
      <c r="B22" s="14" t="s">
        <v>57</v>
      </c>
      <c r="C22" s="16" t="n">
        <v>385</v>
      </c>
      <c r="D22" s="16" t="n">
        <v>1318</v>
      </c>
      <c r="E22" s="16" t="n">
        <v>439</v>
      </c>
    </row>
    <row r="23" customFormat="false" ht="15" hidden="false" customHeight="false" outlineLevel="0" collapsed="false">
      <c r="A23" s="14" t="s">
        <v>65</v>
      </c>
      <c r="B23" s="14" t="s">
        <v>58</v>
      </c>
      <c r="C23" s="16" t="n">
        <v>225</v>
      </c>
      <c r="D23" s="16" t="n">
        <v>511</v>
      </c>
      <c r="E23" s="16" t="n">
        <v>170</v>
      </c>
    </row>
    <row r="24" customFormat="false" ht="15" hidden="false" customHeight="false" outlineLevel="0" collapsed="false">
      <c r="A24" s="14" t="s">
        <v>65</v>
      </c>
      <c r="B24" s="14" t="s">
        <v>59</v>
      </c>
      <c r="C24" s="16" t="n">
        <v>171</v>
      </c>
      <c r="D24" s="16" t="n">
        <v>539</v>
      </c>
      <c r="E24" s="16" t="n">
        <v>180</v>
      </c>
    </row>
    <row r="25" customFormat="false" ht="15" hidden="false" customHeight="false" outlineLevel="0" collapsed="false">
      <c r="A25" s="14" t="s">
        <v>66</v>
      </c>
      <c r="B25" s="14" t="s">
        <v>52</v>
      </c>
      <c r="C25" s="16" t="n">
        <v>78</v>
      </c>
      <c r="D25" s="16" t="n">
        <v>866</v>
      </c>
      <c r="E25" s="16" t="n">
        <v>289</v>
      </c>
    </row>
    <row r="26" customFormat="false" ht="15" hidden="false" customHeight="false" outlineLevel="0" collapsed="false">
      <c r="A26" s="14" t="s">
        <v>66</v>
      </c>
      <c r="B26" s="14" t="s">
        <v>55</v>
      </c>
      <c r="C26" s="16" t="n">
        <v>120</v>
      </c>
      <c r="D26" s="16" t="n">
        <v>1297</v>
      </c>
      <c r="E26" s="16" t="n">
        <v>432</v>
      </c>
    </row>
    <row r="27" customFormat="false" ht="15" hidden="false" customHeight="false" outlineLevel="0" collapsed="false">
      <c r="A27" s="14" t="s">
        <v>66</v>
      </c>
      <c r="B27" s="14" t="s">
        <v>57</v>
      </c>
      <c r="C27" s="16" t="n">
        <v>175</v>
      </c>
      <c r="D27" s="16" t="n">
        <v>1730</v>
      </c>
      <c r="E27" s="16" t="n">
        <v>577</v>
      </c>
    </row>
    <row r="28" customFormat="false" ht="15" hidden="false" customHeight="false" outlineLevel="0" collapsed="false">
      <c r="A28" s="14" t="s">
        <v>66</v>
      </c>
      <c r="B28" s="14" t="s">
        <v>58</v>
      </c>
      <c r="C28" s="16" t="n">
        <v>95</v>
      </c>
      <c r="D28" s="16" t="n">
        <v>772</v>
      </c>
      <c r="E28" s="16" t="n">
        <v>257</v>
      </c>
    </row>
    <row r="29" customFormat="false" ht="15" hidden="false" customHeight="false" outlineLevel="0" collapsed="false">
      <c r="A29" s="14" t="s">
        <v>66</v>
      </c>
      <c r="B29" s="14" t="s">
        <v>59</v>
      </c>
      <c r="C29" s="16" t="n">
        <v>72</v>
      </c>
      <c r="D29" s="16" t="n">
        <v>1944</v>
      </c>
      <c r="E29" s="16" t="n">
        <v>648</v>
      </c>
    </row>
    <row r="30" customFormat="false" ht="15" hidden="false" customHeight="false" outlineLevel="0" collapsed="false">
      <c r="A30" s="14" t="s">
        <v>67</v>
      </c>
      <c r="B30" s="14" t="s">
        <v>52</v>
      </c>
      <c r="C30" s="16" t="n">
        <v>47</v>
      </c>
      <c r="D30" s="16" t="n">
        <v>405</v>
      </c>
      <c r="E30" s="16" t="n">
        <v>135</v>
      </c>
    </row>
    <row r="31" customFormat="false" ht="15" hidden="false" customHeight="false" outlineLevel="0" collapsed="false">
      <c r="A31" s="14" t="s">
        <v>67</v>
      </c>
      <c r="B31" s="14" t="s">
        <v>55</v>
      </c>
      <c r="C31" s="16" t="n">
        <v>61</v>
      </c>
      <c r="D31" s="16" t="n">
        <v>413</v>
      </c>
      <c r="E31" s="16" t="n">
        <v>138</v>
      </c>
    </row>
    <row r="32" customFormat="false" ht="15" hidden="false" customHeight="false" outlineLevel="0" collapsed="false">
      <c r="A32" s="14" t="s">
        <v>67</v>
      </c>
      <c r="B32" s="14" t="s">
        <v>57</v>
      </c>
      <c r="C32" s="16" t="n">
        <v>93</v>
      </c>
      <c r="D32" s="16" t="n">
        <v>436</v>
      </c>
      <c r="E32" s="16" t="n">
        <v>145</v>
      </c>
    </row>
    <row r="33" customFormat="false" ht="15" hidden="false" customHeight="false" outlineLevel="0" collapsed="false">
      <c r="A33" s="14" t="s">
        <v>67</v>
      </c>
      <c r="B33" s="14" t="s">
        <v>58</v>
      </c>
      <c r="C33" s="16" t="n">
        <v>69</v>
      </c>
      <c r="D33" s="16" t="n">
        <v>463</v>
      </c>
      <c r="E33" s="16" t="n">
        <v>154</v>
      </c>
    </row>
    <row r="34" customFormat="false" ht="15" hidden="false" customHeight="false" outlineLevel="0" collapsed="false">
      <c r="A34" s="14" t="s">
        <v>67</v>
      </c>
      <c r="B34" s="14" t="s">
        <v>59</v>
      </c>
      <c r="C34" s="16" t="n">
        <v>48</v>
      </c>
      <c r="D34" s="16" t="n">
        <v>411</v>
      </c>
      <c r="E34" s="16" t="n">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0" width="26"/>
    <col collapsed="false" customWidth="true" hidden="false" outlineLevel="0" max="2" min="2" style="0" width="18"/>
    <col collapsed="false" customWidth="true" hidden="false" outlineLevel="0" max="3" min="3" style="0" width="9"/>
    <col collapsed="false" customWidth="true" hidden="false" outlineLevel="0" max="4" min="4" style="0" width="8"/>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9"/>
    <col collapsed="false" customWidth="true" hidden="false" outlineLevel="0" max="9" min="9" style="0" width="10"/>
    <col collapsed="false" customWidth="true" hidden="false" outlineLevel="1" max="20" min="10" style="0" width="10"/>
    <col collapsed="false" customWidth="true" hidden="false" outlineLevel="0" max="21" min="21" style="0" width="11"/>
    <col collapsed="false" customWidth="true" hidden="false" outlineLevel="0" max="22" min="22" style="0" width="10"/>
    <col collapsed="false" customWidth="true" hidden="false" outlineLevel="0" max="24" min="23" style="0" width="8"/>
    <col collapsed="false" customWidth="true" hidden="false" outlineLevel="0" max="26" min="25" style="0" width="13"/>
    <col collapsed="false" customWidth="true" hidden="false" outlineLevel="1" max="35" min="27" style="0" width="10"/>
  </cols>
  <sheetData>
    <row r="1" customFormat="false" ht="17.35" hidden="false" customHeight="false" outlineLevel="0" collapsed="false">
      <c r="A1" s="1" t="s">
        <v>73</v>
      </c>
    </row>
    <row r="2" customFormat="false" ht="15" hidden="false" customHeight="false" outlineLevel="0" collapsed="false">
      <c r="A2" s="2" t="s">
        <v>74</v>
      </c>
    </row>
    <row r="4" customFormat="false" ht="42" hidden="false" customHeight="true" outlineLevel="0" collapsed="false">
      <c r="A4" s="5" t="s">
        <v>18</v>
      </c>
      <c r="B4" s="5" t="s">
        <v>50</v>
      </c>
      <c r="C4" s="5" t="s">
        <v>19</v>
      </c>
      <c r="D4" s="5" t="s">
        <v>75</v>
      </c>
      <c r="E4" s="5" t="s">
        <v>76</v>
      </c>
      <c r="F4" s="5" t="s">
        <v>77</v>
      </c>
      <c r="G4" s="5" t="s">
        <v>78</v>
      </c>
      <c r="H4" s="5" t="s">
        <v>41</v>
      </c>
      <c r="I4" s="5" t="s">
        <v>79</v>
      </c>
      <c r="J4" s="5" t="s">
        <v>80</v>
      </c>
      <c r="K4" s="5" t="s">
        <v>81</v>
      </c>
      <c r="L4" s="5" t="s">
        <v>24</v>
      </c>
      <c r="M4" s="5" t="s">
        <v>82</v>
      </c>
      <c r="N4" s="5" t="s">
        <v>83</v>
      </c>
      <c r="O4" s="5" t="s">
        <v>84</v>
      </c>
      <c r="P4" s="5" t="s">
        <v>85</v>
      </c>
      <c r="Q4" s="5" t="s">
        <v>86</v>
      </c>
      <c r="R4" s="5" t="s">
        <v>87</v>
      </c>
      <c r="S4" s="5" t="s">
        <v>88</v>
      </c>
      <c r="T4" s="5" t="s">
        <v>89</v>
      </c>
      <c r="U4" s="5" t="s">
        <v>90</v>
      </c>
      <c r="V4" s="5" t="s">
        <v>91</v>
      </c>
      <c r="W4" s="5" t="s">
        <v>92</v>
      </c>
      <c r="X4" s="5" t="s">
        <v>93</v>
      </c>
      <c r="Y4" s="5" t="s">
        <v>94</v>
      </c>
      <c r="Z4" s="5" t="s">
        <v>95</v>
      </c>
      <c r="AA4" s="5" t="s">
        <v>96</v>
      </c>
      <c r="AB4" s="5" t="s">
        <v>97</v>
      </c>
      <c r="AC4" s="5" t="s">
        <v>98</v>
      </c>
      <c r="AD4" s="5" t="s">
        <v>99</v>
      </c>
      <c r="AE4" s="5" t="s">
        <v>100</v>
      </c>
      <c r="AF4" s="5" t="s">
        <v>101</v>
      </c>
      <c r="AG4" s="5" t="s">
        <v>102</v>
      </c>
      <c r="AH4" s="5" t="s">
        <v>103</v>
      </c>
      <c r="AI4" s="5" t="s">
        <v>104</v>
      </c>
    </row>
    <row r="5" customFormat="false" ht="15" hidden="false" customHeight="false" outlineLevel="0" collapsed="false">
      <c r="A5" s="14" t="str">
        <f aca="false">Stock!A5</f>
        <v>Lager 60cl bottle</v>
      </c>
      <c r="B5" s="14" t="str">
        <f aca="false">Stock!B5</f>
        <v>Depot North</v>
      </c>
      <c r="C5" s="14" t="str">
        <f aca="false">INDEX(Inputs!$B$26:$B$31,MATCH(A5,Inputs!$A$26:$A$31,0))</f>
        <v>Fast</v>
      </c>
      <c r="D5" s="14" t="str">
        <f aca="false">INDEX(Inputs!$B$17:$B$21,MATCH(B5,Inputs!$A$17:$A$21,0))</f>
        <v>N</v>
      </c>
      <c r="E5" s="6" t="n">
        <f aca="false">Stock!C5</f>
        <v>654</v>
      </c>
      <c r="F5" s="6" t="n">
        <f aca="false">Stock!D5+Stock!E5</f>
        <v>4359</v>
      </c>
      <c r="G5" s="8" t="n">
        <f aca="false">IFERROR(F5/E5,0)</f>
        <v>6.6651376146789</v>
      </c>
      <c r="H5" s="6" t="n">
        <f aca="false">INDEX(Inputs!$C$5:$C$7,MATCH(C5,Inputs!$A$5:$A$7,0))</f>
        <v>8</v>
      </c>
      <c r="I5" s="6" t="n">
        <f aca="false">MAX(0,ROUND(H5*E5-F5,0))</f>
        <v>873</v>
      </c>
      <c r="J5" s="6" t="n">
        <f aca="false">INDEX(Inputs!$C$26:$C$31,MATCH(A5,Inputs!$A$26:$A$31,0))</f>
        <v>8500</v>
      </c>
      <c r="K5" s="6" t="n">
        <f aca="false">SUMIF($A$5:$A$34,A5,$I$5:$I$34)</f>
        <v>10592</v>
      </c>
      <c r="L5" s="14" t="str">
        <f aca="false">IF(K5&gt;J5,"Yes","No")</f>
        <v>Yes</v>
      </c>
      <c r="M5" s="6" t="n">
        <f aca="false">IF(AND(L5="Yes",D5="Y"),MIN(I5,Inputs!$B$11*E5),0)</f>
        <v>0</v>
      </c>
      <c r="N5" s="6" t="n">
        <f aca="false">SUMIF($A$5:$A$34,A5,$M$5:$M$34)</f>
        <v>4647</v>
      </c>
      <c r="O5" s="8" t="n">
        <f aca="false">IF(N5&gt;J5,M5*J5/N5,M5)</f>
        <v>0</v>
      </c>
      <c r="P5" s="6" t="n">
        <f aca="false">I5-O5</f>
        <v>873</v>
      </c>
      <c r="Q5" s="6" t="n">
        <f aca="false">MAX(0,J5-MIN(N5,J5))</f>
        <v>3853</v>
      </c>
      <c r="R5" s="17" t="n">
        <f aca="false">IF(P5&gt;0,P5/E5,0)</f>
        <v>1.3348623853211</v>
      </c>
      <c r="S5" s="6" t="n">
        <f aca="false">SUMPRODUCT(($A$5:$A$34=A5)*(($P$5:$P$34&lt;R5*$E$5:$E$34)*$P$5:$P$34+($P$5:$P$34&gt;=R5*$E$5:$E$34)*R5*$E$5:$E$34))</f>
        <v>3879.11009174312</v>
      </c>
      <c r="T5" s="17" t="n">
        <f aca="false">IF(AND(P5&gt;0,S5&lt;=Q5),R5,0)</f>
        <v>0</v>
      </c>
      <c r="U5" s="6" t="n">
        <f aca="false">IF(L5="No",I5,ROUNDDOWN(O5+AI5,0))</f>
        <v>867</v>
      </c>
      <c r="V5" s="8" t="n">
        <f aca="false">IFERROR((F5+U5)/E5,0)</f>
        <v>7.9908256880734</v>
      </c>
      <c r="W5" s="6" t="n">
        <f aca="false">INDEX(Inputs!$B$5:$B$7,MATCH(C5,Inputs!$A$5:$A$7,0))</f>
        <v>5</v>
      </c>
      <c r="X5" s="6" t="n">
        <f aca="false">INDEX(Inputs!$D$5:$D$7,MATCH(C5,Inputs!$A$5:$A$7,0))</f>
        <v>12</v>
      </c>
      <c r="Y5" s="14" t="str">
        <f aca="false">IF(V5&lt;W5,"Below band",IF(V5&gt;X5,"Above band","Within band"))</f>
        <v>Within band</v>
      </c>
      <c r="Z5" s="14" t="str">
        <f aca="false">IF(G5&lt;W5,"Below band",IF(G5&gt;X5,"Above band","Within band"))</f>
        <v>Within band</v>
      </c>
      <c r="AA5" s="6" t="n">
        <f aca="false">MAX(0,ROUNDDOWN((V5-X5)*E5,0))</f>
        <v>0</v>
      </c>
      <c r="AB5" s="6" t="n">
        <f aca="false">MAX(0,ROUNDUP((W5-V5)*E5,0))</f>
        <v>0</v>
      </c>
      <c r="AC5" s="14" t="str">
        <f aca="false">A5&amp;"|"&amp;AA5</f>
        <v>Lager 60cl bottle|0</v>
      </c>
      <c r="AD5" s="14" t="str">
        <f aca="false">A5&amp;"|"&amp;AB5</f>
        <v>Lager 60cl bottle|0</v>
      </c>
      <c r="AE5" s="17" t="n">
        <f aca="false">_xlfn.MAXIFS($T$5:$T$34,$A$5:$A$34,A5)</f>
        <v>0</v>
      </c>
      <c r="AF5" s="8" t="n">
        <f aca="false">SUMPRODUCT(($A$5:$A$34=A5)*(($P$5:$P$34&lt;AE5*$E$5:$E$34)*$P$5:$P$34+($P$5:$P$34&gt;=AE5*$E$5:$E$34)*AE5*$E$5:$E$34))</f>
        <v>0</v>
      </c>
      <c r="AG5" s="6" t="n">
        <f aca="false">SUMIFS($E$5:$E$34,$A$5:$A$34,A5,$R$5:$R$34,"&gt;"&amp;AE5)</f>
        <v>2906</v>
      </c>
      <c r="AH5" s="17" t="n">
        <f aca="false">IF(AG5=0,AE5,AE5+(Q5-AF5)/AG5)</f>
        <v>1.32587749483827</v>
      </c>
      <c r="AI5" s="8" t="n">
        <f aca="false">MIN(P5,AH5*E5)</f>
        <v>867.123881624226</v>
      </c>
    </row>
    <row r="6" customFormat="false" ht="15" hidden="false" customHeight="false" outlineLevel="0" collapsed="false">
      <c r="A6" s="14" t="str">
        <f aca="false">Stock!A6</f>
        <v>Lager 60cl bottle</v>
      </c>
      <c r="B6" s="14" t="str">
        <f aca="false">Stock!B6</f>
        <v>Depot Central</v>
      </c>
      <c r="C6" s="14" t="str">
        <f aca="false">INDEX(Inputs!$B$26:$B$31,MATCH(A6,Inputs!$A$26:$A$31,0))</f>
        <v>Fast</v>
      </c>
      <c r="D6" s="14" t="str">
        <f aca="false">INDEX(Inputs!$B$17:$B$21,MATCH(B6,Inputs!$A$17:$A$21,0))</f>
        <v>Y</v>
      </c>
      <c r="E6" s="6" t="n">
        <f aca="false">Stock!C6</f>
        <v>974</v>
      </c>
      <c r="F6" s="6" t="n">
        <f aca="false">Stock!D6+Stock!E6</f>
        <v>3088</v>
      </c>
      <c r="G6" s="8" t="n">
        <f aca="false">IFERROR(F6/E6,0)</f>
        <v>3.17043121149897</v>
      </c>
      <c r="H6" s="6" t="n">
        <f aca="false">INDEX(Inputs!$C$5:$C$7,MATCH(C6,Inputs!$A$5:$A$7,0))</f>
        <v>8</v>
      </c>
      <c r="I6" s="6" t="n">
        <f aca="false">MAX(0,ROUND(H6*E6-F6,0))</f>
        <v>4704</v>
      </c>
      <c r="J6" s="6" t="n">
        <f aca="false">INDEX(Inputs!$C$26:$C$31,MATCH(A6,Inputs!$A$26:$A$31,0))</f>
        <v>8500</v>
      </c>
      <c r="K6" s="6" t="n">
        <f aca="false">SUMIF($A$5:$A$34,A6,$I$5:$I$34)</f>
        <v>10592</v>
      </c>
      <c r="L6" s="14" t="str">
        <f aca="false">IF(K6&gt;J6,"Yes","No")</f>
        <v>Yes</v>
      </c>
      <c r="M6" s="6" t="n">
        <f aca="false">IF(AND(L6="Yes",D6="Y"),MIN(I6,Inputs!$B$11*E6),0)</f>
        <v>2922</v>
      </c>
      <c r="N6" s="6" t="n">
        <f aca="false">SUMIF($A$5:$A$34,A6,$M$5:$M$34)</f>
        <v>4647</v>
      </c>
      <c r="O6" s="8" t="n">
        <f aca="false">IF(N6&gt;J6,M6*J6/N6,M6)</f>
        <v>2922</v>
      </c>
      <c r="P6" s="6" t="n">
        <f aca="false">I6-O6</f>
        <v>1782</v>
      </c>
      <c r="Q6" s="6" t="n">
        <f aca="false">MAX(0,J6-MIN(N6,J6))</f>
        <v>3853</v>
      </c>
      <c r="R6" s="17" t="n">
        <f aca="false">IF(P6&gt;0,P6/E6,0)</f>
        <v>1.82956878850103</v>
      </c>
      <c r="S6" s="6" t="n">
        <f aca="false">SUMPRODUCT(($A$5:$A$34=A6)*(($P$5:$P$34&lt;R6*$E$5:$E$34)*$P$5:$P$34+($P$5:$P$34&gt;=R6*$E$5:$E$34)*R6*$E$5:$E$34))</f>
        <v>4923.7864476386</v>
      </c>
      <c r="T6" s="17" t="n">
        <f aca="false">IF(AND(P6&gt;0,S6&lt;=Q6),R6,0)</f>
        <v>0</v>
      </c>
      <c r="U6" s="6" t="n">
        <f aca="false">IF(L6="No",I6,ROUNDDOWN(O6+AI6,0))</f>
        <v>4213</v>
      </c>
      <c r="V6" s="8" t="n">
        <f aca="false">IFERROR((F6+U6)/E6,0)</f>
        <v>7.4958932238193</v>
      </c>
      <c r="W6" s="6" t="n">
        <f aca="false">INDEX(Inputs!$B$5:$B$7,MATCH(C6,Inputs!$A$5:$A$7,0))</f>
        <v>5</v>
      </c>
      <c r="X6" s="6" t="n">
        <f aca="false">INDEX(Inputs!$D$5:$D$7,MATCH(C6,Inputs!$A$5:$A$7,0))</f>
        <v>12</v>
      </c>
      <c r="Y6" s="14" t="str">
        <f aca="false">IF(V6&lt;W6,"Below band",IF(V6&gt;X6,"Above band","Within band"))</f>
        <v>Within band</v>
      </c>
      <c r="Z6" s="14" t="str">
        <f aca="false">IF(G6&lt;W6,"Below band",IF(G6&gt;X6,"Above band","Within band"))</f>
        <v>Below band</v>
      </c>
      <c r="AA6" s="6" t="n">
        <f aca="false">MAX(0,ROUNDDOWN((V6-X6)*E6,0))</f>
        <v>0</v>
      </c>
      <c r="AB6" s="6" t="n">
        <f aca="false">MAX(0,ROUNDUP((W6-V6)*E6,0))</f>
        <v>0</v>
      </c>
      <c r="AC6" s="14" t="str">
        <f aca="false">A6&amp;"|"&amp;AA6</f>
        <v>Lager 60cl bottle|0</v>
      </c>
      <c r="AD6" s="14" t="str">
        <f aca="false">A6&amp;"|"&amp;AB6</f>
        <v>Lager 60cl bottle|0</v>
      </c>
      <c r="AE6" s="17" t="n">
        <f aca="false">_xlfn.MAXIFS($T$5:$T$34,$A$5:$A$34,A6)</f>
        <v>0</v>
      </c>
      <c r="AF6" s="8" t="n">
        <f aca="false">SUMPRODUCT(($A$5:$A$34=A6)*(($P$5:$P$34&lt;AE6*$E$5:$E$34)*$P$5:$P$34+($P$5:$P$34&gt;=AE6*$E$5:$E$34)*AE6*$E$5:$E$34))</f>
        <v>0</v>
      </c>
      <c r="AG6" s="6" t="n">
        <f aca="false">SUMIFS($E$5:$E$34,$A$5:$A$34,A6,$R$5:$R$34,"&gt;"&amp;AE6)</f>
        <v>2906</v>
      </c>
      <c r="AH6" s="17" t="n">
        <f aca="false">IF(AG6=0,AE6,AE6+(Q6-AF6)/AG6)</f>
        <v>1.32587749483827</v>
      </c>
      <c r="AI6" s="8" t="n">
        <f aca="false">MIN(P6,AH6*E6)</f>
        <v>1291.40467997247</v>
      </c>
    </row>
    <row r="7" customFormat="false" ht="15" hidden="false" customHeight="false" outlineLevel="0" collapsed="false">
      <c r="A7" s="14" t="str">
        <f aca="false">Stock!A7</f>
        <v>Lager 60cl bottle</v>
      </c>
      <c r="B7" s="14" t="str">
        <f aca="false">Stock!B7</f>
        <v>Depot South-West</v>
      </c>
      <c r="C7" s="14" t="str">
        <f aca="false">INDEX(Inputs!$B$26:$B$31,MATCH(A7,Inputs!$A$26:$A$31,0))</f>
        <v>Fast</v>
      </c>
      <c r="D7" s="14" t="str">
        <f aca="false">INDEX(Inputs!$B$17:$B$21,MATCH(B7,Inputs!$A$17:$A$21,0))</f>
        <v>Y</v>
      </c>
      <c r="E7" s="6" t="n">
        <f aca="false">Stock!C7</f>
        <v>1184</v>
      </c>
      <c r="F7" s="6" t="n">
        <f aca="false">Stock!D7+Stock!E7</f>
        <v>7747</v>
      </c>
      <c r="G7" s="8" t="n">
        <f aca="false">IFERROR(F7/E7,0)</f>
        <v>6.54307432432433</v>
      </c>
      <c r="H7" s="6" t="n">
        <f aca="false">INDEX(Inputs!$C$5:$C$7,MATCH(C7,Inputs!$A$5:$A$7,0))</f>
        <v>8</v>
      </c>
      <c r="I7" s="6" t="n">
        <f aca="false">MAX(0,ROUND(H7*E7-F7,0))</f>
        <v>1725</v>
      </c>
      <c r="J7" s="6" t="n">
        <f aca="false">INDEX(Inputs!$C$26:$C$31,MATCH(A7,Inputs!$A$26:$A$31,0))</f>
        <v>8500</v>
      </c>
      <c r="K7" s="6" t="n">
        <f aca="false">SUMIF($A$5:$A$34,A7,$I$5:$I$34)</f>
        <v>10592</v>
      </c>
      <c r="L7" s="14" t="str">
        <f aca="false">IF(K7&gt;J7,"Yes","No")</f>
        <v>Yes</v>
      </c>
      <c r="M7" s="6" t="n">
        <f aca="false">IF(AND(L7="Yes",D7="Y"),MIN(I7,Inputs!$B$11*E7),0)</f>
        <v>1725</v>
      </c>
      <c r="N7" s="6" t="n">
        <f aca="false">SUMIF($A$5:$A$34,A7,$M$5:$M$34)</f>
        <v>4647</v>
      </c>
      <c r="O7" s="8" t="n">
        <f aca="false">IF(N7&gt;J7,M7*J7/N7,M7)</f>
        <v>1725</v>
      </c>
      <c r="P7" s="6" t="n">
        <f aca="false">I7-O7</f>
        <v>0</v>
      </c>
      <c r="Q7" s="6" t="n">
        <f aca="false">MAX(0,J7-MIN(N7,J7))</f>
        <v>3853</v>
      </c>
      <c r="R7" s="17" t="n">
        <f aca="false">IF(P7&gt;0,P7/E7,0)</f>
        <v>0</v>
      </c>
      <c r="S7" s="6" t="n">
        <f aca="false">SUMPRODUCT(($A$5:$A$34=A7)*(($P$5:$P$34&lt;R7*$E$5:$E$34)*$P$5:$P$34+($P$5:$P$34&gt;=R7*$E$5:$E$34)*R7*$E$5:$E$34))</f>
        <v>0</v>
      </c>
      <c r="T7" s="17" t="n">
        <f aca="false">IF(AND(P7&gt;0,S7&lt;=Q7),R7,0)</f>
        <v>0</v>
      </c>
      <c r="U7" s="6" t="n">
        <f aca="false">IF(L7="No",I7,ROUNDDOWN(O7+AI7,0))</f>
        <v>1725</v>
      </c>
      <c r="V7" s="8" t="n">
        <f aca="false">IFERROR((F7+U7)/E7,0)</f>
        <v>8</v>
      </c>
      <c r="W7" s="6" t="n">
        <f aca="false">INDEX(Inputs!$B$5:$B$7,MATCH(C7,Inputs!$A$5:$A$7,0))</f>
        <v>5</v>
      </c>
      <c r="X7" s="6" t="n">
        <f aca="false">INDEX(Inputs!$D$5:$D$7,MATCH(C7,Inputs!$A$5:$A$7,0))</f>
        <v>12</v>
      </c>
      <c r="Y7" s="14" t="str">
        <f aca="false">IF(V7&lt;W7,"Below band",IF(V7&gt;X7,"Above band","Within band"))</f>
        <v>Within band</v>
      </c>
      <c r="Z7" s="14" t="str">
        <f aca="false">IF(G7&lt;W7,"Below band",IF(G7&gt;X7,"Above band","Within band"))</f>
        <v>Within band</v>
      </c>
      <c r="AA7" s="6" t="n">
        <f aca="false">MAX(0,ROUNDDOWN((V7-X7)*E7,0))</f>
        <v>0</v>
      </c>
      <c r="AB7" s="6" t="n">
        <f aca="false">MAX(0,ROUNDUP((W7-V7)*E7,0))</f>
        <v>0</v>
      </c>
      <c r="AC7" s="14" t="str">
        <f aca="false">A7&amp;"|"&amp;AA7</f>
        <v>Lager 60cl bottle|0</v>
      </c>
      <c r="AD7" s="14" t="str">
        <f aca="false">A7&amp;"|"&amp;AB7</f>
        <v>Lager 60cl bottle|0</v>
      </c>
      <c r="AE7" s="17" t="n">
        <f aca="false">_xlfn.MAXIFS($T$5:$T$34,$A$5:$A$34,A7)</f>
        <v>0</v>
      </c>
      <c r="AF7" s="8" t="n">
        <f aca="false">SUMPRODUCT(($A$5:$A$34=A7)*(($P$5:$P$34&lt;AE7*$E$5:$E$34)*$P$5:$P$34+($P$5:$P$34&gt;=AE7*$E$5:$E$34)*AE7*$E$5:$E$34))</f>
        <v>0</v>
      </c>
      <c r="AG7" s="6" t="n">
        <f aca="false">SUMIFS($E$5:$E$34,$A$5:$A$34,A7,$R$5:$R$34,"&gt;"&amp;AE7)</f>
        <v>2906</v>
      </c>
      <c r="AH7" s="17" t="n">
        <f aca="false">IF(AG7=0,AE7,AE7+(Q7-AF7)/AG7)</f>
        <v>1.32587749483827</v>
      </c>
      <c r="AI7" s="8" t="n">
        <f aca="false">MIN(P7,AH7*E7)</f>
        <v>0</v>
      </c>
    </row>
    <row r="8" customFormat="false" ht="15" hidden="false" customHeight="false" outlineLevel="0" collapsed="false">
      <c r="A8" s="14" t="str">
        <f aca="false">Stock!A8</f>
        <v>Lager 60cl bottle</v>
      </c>
      <c r="B8" s="14" t="str">
        <f aca="false">Stock!B8</f>
        <v>Depot South-East</v>
      </c>
      <c r="C8" s="14" t="str">
        <f aca="false">INDEX(Inputs!$B$26:$B$31,MATCH(A8,Inputs!$A$26:$A$31,0))</f>
        <v>Fast</v>
      </c>
      <c r="D8" s="14" t="str">
        <f aca="false">INDEX(Inputs!$B$17:$B$21,MATCH(B8,Inputs!$A$17:$A$21,0))</f>
        <v>N</v>
      </c>
      <c r="E8" s="6" t="n">
        <f aca="false">Stock!C8</f>
        <v>690</v>
      </c>
      <c r="F8" s="6" t="n">
        <f aca="false">Stock!D8+Stock!E8</f>
        <v>4327</v>
      </c>
      <c r="G8" s="8" t="n">
        <f aca="false">IFERROR(F8/E8,0)</f>
        <v>6.27101449275362</v>
      </c>
      <c r="H8" s="6" t="n">
        <f aca="false">INDEX(Inputs!$C$5:$C$7,MATCH(C8,Inputs!$A$5:$A$7,0))</f>
        <v>8</v>
      </c>
      <c r="I8" s="6" t="n">
        <f aca="false">MAX(0,ROUND(H8*E8-F8,0))</f>
        <v>1193</v>
      </c>
      <c r="J8" s="6" t="n">
        <f aca="false">INDEX(Inputs!$C$26:$C$31,MATCH(A8,Inputs!$A$26:$A$31,0))</f>
        <v>8500</v>
      </c>
      <c r="K8" s="6" t="n">
        <f aca="false">SUMIF($A$5:$A$34,A8,$I$5:$I$34)</f>
        <v>10592</v>
      </c>
      <c r="L8" s="14" t="str">
        <f aca="false">IF(K8&gt;J8,"Yes","No")</f>
        <v>Yes</v>
      </c>
      <c r="M8" s="6" t="n">
        <f aca="false">IF(AND(L8="Yes",D8="Y"),MIN(I8,Inputs!$B$11*E8),0)</f>
        <v>0</v>
      </c>
      <c r="N8" s="6" t="n">
        <f aca="false">SUMIF($A$5:$A$34,A8,$M$5:$M$34)</f>
        <v>4647</v>
      </c>
      <c r="O8" s="8" t="n">
        <f aca="false">IF(N8&gt;J8,M8*J8/N8,M8)</f>
        <v>0</v>
      </c>
      <c r="P8" s="6" t="n">
        <f aca="false">I8-O8</f>
        <v>1193</v>
      </c>
      <c r="Q8" s="6" t="n">
        <f aca="false">MAX(0,J8-MIN(N8,J8))</f>
        <v>3853</v>
      </c>
      <c r="R8" s="17" t="n">
        <f aca="false">IF(P8&gt;0,P8/E8,0)</f>
        <v>1.72898550724638</v>
      </c>
      <c r="S8" s="6" t="n">
        <f aca="false">SUMPRODUCT(($A$5:$A$34=A8)*(($P$5:$P$34&lt;R8*$E$5:$E$34)*$P$5:$P$34+($P$5:$P$34&gt;=R8*$E$5:$E$34)*R8*$E$5:$E$34))</f>
        <v>4766.67536231884</v>
      </c>
      <c r="T8" s="17" t="n">
        <f aca="false">IF(AND(P8&gt;0,S8&lt;=Q8),R8,0)</f>
        <v>0</v>
      </c>
      <c r="U8" s="6" t="n">
        <f aca="false">IF(L8="No",I8,ROUNDDOWN(O8+AI8,0))</f>
        <v>914</v>
      </c>
      <c r="V8" s="8" t="n">
        <f aca="false">IFERROR((F8+U8)/E8,0)</f>
        <v>7.59565217391304</v>
      </c>
      <c r="W8" s="6" t="n">
        <f aca="false">INDEX(Inputs!$B$5:$B$7,MATCH(C8,Inputs!$A$5:$A$7,0))</f>
        <v>5</v>
      </c>
      <c r="X8" s="6" t="n">
        <f aca="false">INDEX(Inputs!$D$5:$D$7,MATCH(C8,Inputs!$A$5:$A$7,0))</f>
        <v>12</v>
      </c>
      <c r="Y8" s="14" t="str">
        <f aca="false">IF(V8&lt;W8,"Below band",IF(V8&gt;X8,"Above band","Within band"))</f>
        <v>Within band</v>
      </c>
      <c r="Z8" s="14" t="str">
        <f aca="false">IF(G8&lt;W8,"Below band",IF(G8&gt;X8,"Above band","Within band"))</f>
        <v>Within band</v>
      </c>
      <c r="AA8" s="6" t="n">
        <f aca="false">MAX(0,ROUNDDOWN((V8-X8)*E8,0))</f>
        <v>0</v>
      </c>
      <c r="AB8" s="6" t="n">
        <f aca="false">MAX(0,ROUNDUP((W8-V8)*E8,0))</f>
        <v>0</v>
      </c>
      <c r="AC8" s="14" t="str">
        <f aca="false">A8&amp;"|"&amp;AA8</f>
        <v>Lager 60cl bottle|0</v>
      </c>
      <c r="AD8" s="14" t="str">
        <f aca="false">A8&amp;"|"&amp;AB8</f>
        <v>Lager 60cl bottle|0</v>
      </c>
      <c r="AE8" s="17" t="n">
        <f aca="false">_xlfn.MAXIFS($T$5:$T$34,$A$5:$A$34,A8)</f>
        <v>0</v>
      </c>
      <c r="AF8" s="8" t="n">
        <f aca="false">SUMPRODUCT(($A$5:$A$34=A8)*(($P$5:$P$34&lt;AE8*$E$5:$E$34)*$P$5:$P$34+($P$5:$P$34&gt;=AE8*$E$5:$E$34)*AE8*$E$5:$E$34))</f>
        <v>0</v>
      </c>
      <c r="AG8" s="6" t="n">
        <f aca="false">SUMIFS($E$5:$E$34,$A$5:$A$34,A8,$R$5:$R$34,"&gt;"&amp;AE8)</f>
        <v>2906</v>
      </c>
      <c r="AH8" s="17" t="n">
        <f aca="false">IF(AG8=0,AE8,AE8+(Q8-AF8)/AG8)</f>
        <v>1.32587749483827</v>
      </c>
      <c r="AI8" s="8" t="n">
        <f aca="false">MIN(P8,AH8*E8)</f>
        <v>914.855471438403</v>
      </c>
    </row>
    <row r="9" customFormat="false" ht="15" hidden="false" customHeight="false" outlineLevel="0" collapsed="false">
      <c r="A9" s="14" t="str">
        <f aca="false">Stock!A9</f>
        <v>Lager 60cl bottle</v>
      </c>
      <c r="B9" s="14" t="str">
        <f aca="false">Stock!B9</f>
        <v>Depot Coastal</v>
      </c>
      <c r="C9" s="14" t="str">
        <f aca="false">INDEX(Inputs!$B$26:$B$31,MATCH(A9,Inputs!$A$26:$A$31,0))</f>
        <v>Fast</v>
      </c>
      <c r="D9" s="14" t="str">
        <f aca="false">INDEX(Inputs!$B$17:$B$21,MATCH(B9,Inputs!$A$17:$A$21,0))</f>
        <v>N</v>
      </c>
      <c r="E9" s="6" t="n">
        <f aca="false">Stock!C9</f>
        <v>588</v>
      </c>
      <c r="F9" s="6" t="n">
        <f aca="false">Stock!D9+Stock!E9</f>
        <v>2607</v>
      </c>
      <c r="G9" s="8" t="n">
        <f aca="false">IFERROR(F9/E9,0)</f>
        <v>4.43367346938776</v>
      </c>
      <c r="H9" s="6" t="n">
        <f aca="false">INDEX(Inputs!$C$5:$C$7,MATCH(C9,Inputs!$A$5:$A$7,0))</f>
        <v>8</v>
      </c>
      <c r="I9" s="6" t="n">
        <f aca="false">MAX(0,ROUND(H9*E9-F9,0))</f>
        <v>2097</v>
      </c>
      <c r="J9" s="6" t="n">
        <f aca="false">INDEX(Inputs!$C$26:$C$31,MATCH(A9,Inputs!$A$26:$A$31,0))</f>
        <v>8500</v>
      </c>
      <c r="K9" s="6" t="n">
        <f aca="false">SUMIF($A$5:$A$34,A9,$I$5:$I$34)</f>
        <v>10592</v>
      </c>
      <c r="L9" s="14" t="str">
        <f aca="false">IF(K9&gt;J9,"Yes","No")</f>
        <v>Yes</v>
      </c>
      <c r="M9" s="6" t="n">
        <f aca="false">IF(AND(L9="Yes",D9="Y"),MIN(I9,Inputs!$B$11*E9),0)</f>
        <v>0</v>
      </c>
      <c r="N9" s="6" t="n">
        <f aca="false">SUMIF($A$5:$A$34,A9,$M$5:$M$34)</f>
        <v>4647</v>
      </c>
      <c r="O9" s="8" t="n">
        <f aca="false">IF(N9&gt;J9,M9*J9/N9,M9)</f>
        <v>0</v>
      </c>
      <c r="P9" s="6" t="n">
        <f aca="false">I9-O9</f>
        <v>2097</v>
      </c>
      <c r="Q9" s="6" t="n">
        <f aca="false">MAX(0,J9-MIN(N9,J9))</f>
        <v>3853</v>
      </c>
      <c r="R9" s="17" t="n">
        <f aca="false">IF(P9&gt;0,P9/E9,0)</f>
        <v>3.56632653061225</v>
      </c>
      <c r="S9" s="6" t="n">
        <f aca="false">SUMPRODUCT(($A$5:$A$34=A9)*(($P$5:$P$34&lt;R9*$E$5:$E$34)*$P$5:$P$34+($P$5:$P$34&gt;=R9*$E$5:$E$34)*R9*$E$5:$E$34))</f>
        <v>5945</v>
      </c>
      <c r="T9" s="17" t="n">
        <f aca="false">IF(AND(P9&gt;0,S9&lt;=Q9),R9,0)</f>
        <v>0</v>
      </c>
      <c r="U9" s="6" t="n">
        <f aca="false">IF(L9="No",I9,ROUNDDOWN(O9+AI9,0))</f>
        <v>779</v>
      </c>
      <c r="V9" s="8" t="n">
        <f aca="false">IFERROR((F9+U9)/E9,0)</f>
        <v>5.75850340136054</v>
      </c>
      <c r="W9" s="6" t="n">
        <f aca="false">INDEX(Inputs!$B$5:$B$7,MATCH(C9,Inputs!$A$5:$A$7,0))</f>
        <v>5</v>
      </c>
      <c r="X9" s="6" t="n">
        <f aca="false">INDEX(Inputs!$D$5:$D$7,MATCH(C9,Inputs!$A$5:$A$7,0))</f>
        <v>12</v>
      </c>
      <c r="Y9" s="14" t="str">
        <f aca="false">IF(V9&lt;W9,"Below band",IF(V9&gt;X9,"Above band","Within band"))</f>
        <v>Within band</v>
      </c>
      <c r="Z9" s="14" t="str">
        <f aca="false">IF(G9&lt;W9,"Below band",IF(G9&gt;X9,"Above band","Within band"))</f>
        <v>Below band</v>
      </c>
      <c r="AA9" s="6" t="n">
        <f aca="false">MAX(0,ROUNDDOWN((V9-X9)*E9,0))</f>
        <v>0</v>
      </c>
      <c r="AB9" s="6" t="n">
        <f aca="false">MAX(0,ROUNDUP((W9-V9)*E9,0))</f>
        <v>0</v>
      </c>
      <c r="AC9" s="14" t="str">
        <f aca="false">A9&amp;"|"&amp;AA9</f>
        <v>Lager 60cl bottle|0</v>
      </c>
      <c r="AD9" s="14" t="str">
        <f aca="false">A9&amp;"|"&amp;AB9</f>
        <v>Lager 60cl bottle|0</v>
      </c>
      <c r="AE9" s="17" t="n">
        <f aca="false">_xlfn.MAXIFS($T$5:$T$34,$A$5:$A$34,A9)</f>
        <v>0</v>
      </c>
      <c r="AF9" s="8" t="n">
        <f aca="false">SUMPRODUCT(($A$5:$A$34=A9)*(($P$5:$P$34&lt;AE9*$E$5:$E$34)*$P$5:$P$34+($P$5:$P$34&gt;=AE9*$E$5:$E$34)*AE9*$E$5:$E$34))</f>
        <v>0</v>
      </c>
      <c r="AG9" s="6" t="n">
        <f aca="false">SUMIFS($E$5:$E$34,$A$5:$A$34,A9,$R$5:$R$34,"&gt;"&amp;AE9)</f>
        <v>2906</v>
      </c>
      <c r="AH9" s="17" t="n">
        <f aca="false">IF(AG9=0,AE9,AE9+(Q9-AF9)/AG9)</f>
        <v>1.32587749483827</v>
      </c>
      <c r="AI9" s="8" t="n">
        <f aca="false">MIN(P9,AH9*E9)</f>
        <v>779.6159669649</v>
      </c>
    </row>
    <row r="10" customFormat="false" ht="15" hidden="false" customHeight="false" outlineLevel="0" collapsed="false">
      <c r="A10" s="14" t="str">
        <f aca="false">Stock!A10</f>
        <v>Lager 33cl can</v>
      </c>
      <c r="B10" s="14" t="str">
        <f aca="false">Stock!B10</f>
        <v>Depot North</v>
      </c>
      <c r="C10" s="14" t="str">
        <f aca="false">INDEX(Inputs!$B$26:$B$31,MATCH(A10,Inputs!$A$26:$A$31,0))</f>
        <v>Fast</v>
      </c>
      <c r="D10" s="14" t="str">
        <f aca="false">INDEX(Inputs!$B$17:$B$21,MATCH(B10,Inputs!$A$17:$A$21,0))</f>
        <v>N</v>
      </c>
      <c r="E10" s="6" t="n">
        <f aca="false">Stock!C10</f>
        <v>428</v>
      </c>
      <c r="F10" s="6" t="n">
        <f aca="false">Stock!D10+Stock!E10</f>
        <v>1476</v>
      </c>
      <c r="G10" s="8" t="n">
        <f aca="false">IFERROR(F10/E10,0)</f>
        <v>3.44859813084112</v>
      </c>
      <c r="H10" s="6" t="n">
        <f aca="false">INDEX(Inputs!$C$5:$C$7,MATCH(C10,Inputs!$A$5:$A$7,0))</f>
        <v>8</v>
      </c>
      <c r="I10" s="6" t="n">
        <f aca="false">MAX(0,ROUND(H10*E10-F10,0))</f>
        <v>1948</v>
      </c>
      <c r="J10" s="6" t="n">
        <f aca="false">INDEX(Inputs!$C$26:$C$31,MATCH(A10,Inputs!$A$26:$A$31,0))</f>
        <v>11200</v>
      </c>
      <c r="K10" s="6" t="n">
        <f aca="false">SUMIF($A$5:$A$34,A10,$I$5:$I$34)</f>
        <v>8621</v>
      </c>
      <c r="L10" s="14" t="str">
        <f aca="false">IF(K10&gt;J10,"Yes","No")</f>
        <v>No</v>
      </c>
      <c r="M10" s="6" t="n">
        <f aca="false">IF(AND(L10="Yes",D10="Y"),MIN(I10,Inputs!$B$11*E10),0)</f>
        <v>0</v>
      </c>
      <c r="N10" s="6" t="n">
        <f aca="false">SUMIF($A$5:$A$34,A10,$M$5:$M$34)</f>
        <v>0</v>
      </c>
      <c r="O10" s="8" t="n">
        <f aca="false">IF(N10&gt;J10,M10*J10/N10,M10)</f>
        <v>0</v>
      </c>
      <c r="P10" s="6" t="n">
        <f aca="false">I10-O10</f>
        <v>1948</v>
      </c>
      <c r="Q10" s="6" t="n">
        <f aca="false">MAX(0,J10-MIN(N10,J10))</f>
        <v>11200</v>
      </c>
      <c r="R10" s="17" t="n">
        <f aca="false">IF(P10&gt;0,P10/E10,0)</f>
        <v>4.55140186915888</v>
      </c>
      <c r="S10" s="6" t="n">
        <f aca="false">SUMPRODUCT(($A$5:$A$34=A10)*(($P$5:$P$34&lt;R10*$E$5:$E$34)*$P$5:$P$34+($P$5:$P$34&gt;=R10*$E$5:$E$34)*R10*$E$5:$E$34))</f>
        <v>8621</v>
      </c>
      <c r="T10" s="17" t="n">
        <f aca="false">IF(AND(P10&gt;0,S10&lt;=Q10),R10,0)</f>
        <v>4.55140186915888</v>
      </c>
      <c r="U10" s="6" t="n">
        <f aca="false">IF(L10="No",I10,ROUNDDOWN(O10+AI10,0))</f>
        <v>1948</v>
      </c>
      <c r="V10" s="8" t="n">
        <f aca="false">IFERROR((F10+U10)/E10,0)</f>
        <v>8</v>
      </c>
      <c r="W10" s="6" t="n">
        <f aca="false">INDEX(Inputs!$B$5:$B$7,MATCH(C10,Inputs!$A$5:$A$7,0))</f>
        <v>5</v>
      </c>
      <c r="X10" s="6" t="n">
        <f aca="false">INDEX(Inputs!$D$5:$D$7,MATCH(C10,Inputs!$A$5:$A$7,0))</f>
        <v>12</v>
      </c>
      <c r="Y10" s="14" t="str">
        <f aca="false">IF(V10&lt;W10,"Below band",IF(V10&gt;X10,"Above band","Within band"))</f>
        <v>Within band</v>
      </c>
      <c r="Z10" s="14" t="str">
        <f aca="false">IF(G10&lt;W10,"Below band",IF(G10&gt;X10,"Above band","Within band"))</f>
        <v>Below band</v>
      </c>
      <c r="AA10" s="6" t="n">
        <f aca="false">MAX(0,ROUNDDOWN((V10-X10)*E10,0))</f>
        <v>0</v>
      </c>
      <c r="AB10" s="6" t="n">
        <f aca="false">MAX(0,ROUNDUP((W10-V10)*E10,0))</f>
        <v>0</v>
      </c>
      <c r="AC10" s="14" t="str">
        <f aca="false">A10&amp;"|"&amp;AA10</f>
        <v>Lager 33cl can|0</v>
      </c>
      <c r="AD10" s="14" t="str">
        <f aca="false">A10&amp;"|"&amp;AB10</f>
        <v>Lager 33cl can|0</v>
      </c>
      <c r="AE10" s="17" t="n">
        <f aca="false">_xlfn.MAXIFS($T$5:$T$34,$A$5:$A$34,A10)</f>
        <v>4.55140186915888</v>
      </c>
      <c r="AF10" s="8" t="n">
        <f aca="false">SUMPRODUCT(($A$5:$A$34=A10)*(($P$5:$P$34&lt;AE10*$E$5:$E$34)*$P$5:$P$34+($P$5:$P$34&gt;=AE10*$E$5:$E$34)*AE10*$E$5:$E$34))</f>
        <v>8621</v>
      </c>
      <c r="AG10" s="6" t="n">
        <f aca="false">SUMIFS($E$5:$E$34,$A$5:$A$34,A10,$R$5:$R$34,"&gt;"&amp;AE10)</f>
        <v>0</v>
      </c>
      <c r="AH10" s="17" t="n">
        <f aca="false">IF(AG10=0,AE10,AE10+(Q10-AF10)/AG10)</f>
        <v>4.55140186915888</v>
      </c>
      <c r="AI10" s="8" t="n">
        <f aca="false">MIN(P10,AH10*E10)</f>
        <v>1948</v>
      </c>
    </row>
    <row r="11" customFormat="false" ht="15" hidden="false" customHeight="false" outlineLevel="0" collapsed="false">
      <c r="A11" s="14" t="str">
        <f aca="false">Stock!A11</f>
        <v>Lager 33cl can</v>
      </c>
      <c r="B11" s="14" t="str">
        <f aca="false">Stock!B11</f>
        <v>Depot Central</v>
      </c>
      <c r="C11" s="14" t="str">
        <f aca="false">INDEX(Inputs!$B$26:$B$31,MATCH(A11,Inputs!$A$26:$A$31,0))</f>
        <v>Fast</v>
      </c>
      <c r="D11" s="14" t="str">
        <f aca="false">INDEX(Inputs!$B$17:$B$21,MATCH(B11,Inputs!$A$17:$A$21,0))</f>
        <v>Y</v>
      </c>
      <c r="E11" s="6" t="n">
        <f aca="false">Stock!C11</f>
        <v>602</v>
      </c>
      <c r="F11" s="6" t="n">
        <f aca="false">Stock!D11+Stock!E11</f>
        <v>2597</v>
      </c>
      <c r="G11" s="8" t="n">
        <f aca="false">IFERROR(F11/E11,0)</f>
        <v>4.31395348837209</v>
      </c>
      <c r="H11" s="6" t="n">
        <f aca="false">INDEX(Inputs!$C$5:$C$7,MATCH(C11,Inputs!$A$5:$A$7,0))</f>
        <v>8</v>
      </c>
      <c r="I11" s="6" t="n">
        <f aca="false">MAX(0,ROUND(H11*E11-F11,0))</f>
        <v>2219</v>
      </c>
      <c r="J11" s="6" t="n">
        <f aca="false">INDEX(Inputs!$C$26:$C$31,MATCH(A11,Inputs!$A$26:$A$31,0))</f>
        <v>11200</v>
      </c>
      <c r="K11" s="6" t="n">
        <f aca="false">SUMIF($A$5:$A$34,A11,$I$5:$I$34)</f>
        <v>8621</v>
      </c>
      <c r="L11" s="14" t="str">
        <f aca="false">IF(K11&gt;J11,"Yes","No")</f>
        <v>No</v>
      </c>
      <c r="M11" s="6" t="n">
        <f aca="false">IF(AND(L11="Yes",D11="Y"),MIN(I11,Inputs!$B$11*E11),0)</f>
        <v>0</v>
      </c>
      <c r="N11" s="6" t="n">
        <f aca="false">SUMIF($A$5:$A$34,A11,$M$5:$M$34)</f>
        <v>0</v>
      </c>
      <c r="O11" s="8" t="n">
        <f aca="false">IF(N11&gt;J11,M11*J11/N11,M11)</f>
        <v>0</v>
      </c>
      <c r="P11" s="6" t="n">
        <f aca="false">I11-O11</f>
        <v>2219</v>
      </c>
      <c r="Q11" s="6" t="n">
        <f aca="false">MAX(0,J11-MIN(N11,J11))</f>
        <v>11200</v>
      </c>
      <c r="R11" s="17" t="n">
        <f aca="false">IF(P11&gt;0,P11/E11,0)</f>
        <v>3.68604651162791</v>
      </c>
      <c r="S11" s="6" t="n">
        <f aca="false">SUMPRODUCT(($A$5:$A$34=A11)*(($P$5:$P$34&lt;R11*$E$5:$E$34)*$P$5:$P$34+($P$5:$P$34&gt;=R11*$E$5:$E$34)*R11*$E$5:$E$34))</f>
        <v>8250.62790697674</v>
      </c>
      <c r="T11" s="17" t="n">
        <f aca="false">IF(AND(P11&gt;0,S11&lt;=Q11),R11,0)</f>
        <v>3.68604651162791</v>
      </c>
      <c r="U11" s="6" t="n">
        <f aca="false">IF(L11="No",I11,ROUNDDOWN(O11+AI11,0))</f>
        <v>2219</v>
      </c>
      <c r="V11" s="8" t="n">
        <f aca="false">IFERROR((F11+U11)/E11,0)</f>
        <v>8</v>
      </c>
      <c r="W11" s="6" t="n">
        <f aca="false">INDEX(Inputs!$B$5:$B$7,MATCH(C11,Inputs!$A$5:$A$7,0))</f>
        <v>5</v>
      </c>
      <c r="X11" s="6" t="n">
        <f aca="false">INDEX(Inputs!$D$5:$D$7,MATCH(C11,Inputs!$A$5:$A$7,0))</f>
        <v>12</v>
      </c>
      <c r="Y11" s="14" t="str">
        <f aca="false">IF(V11&lt;W11,"Below band",IF(V11&gt;X11,"Above band","Within band"))</f>
        <v>Within band</v>
      </c>
      <c r="Z11" s="14" t="str">
        <f aca="false">IF(G11&lt;W11,"Below band",IF(G11&gt;X11,"Above band","Within band"))</f>
        <v>Below band</v>
      </c>
      <c r="AA11" s="6" t="n">
        <f aca="false">MAX(0,ROUNDDOWN((V11-X11)*E11,0))</f>
        <v>0</v>
      </c>
      <c r="AB11" s="6" t="n">
        <f aca="false">MAX(0,ROUNDUP((W11-V11)*E11,0))</f>
        <v>0</v>
      </c>
      <c r="AC11" s="14" t="str">
        <f aca="false">A11&amp;"|"&amp;AA11</f>
        <v>Lager 33cl can|0</v>
      </c>
      <c r="AD11" s="14" t="str">
        <f aca="false">A11&amp;"|"&amp;AB11</f>
        <v>Lager 33cl can|0</v>
      </c>
      <c r="AE11" s="17" t="n">
        <f aca="false">_xlfn.MAXIFS($T$5:$T$34,$A$5:$A$34,A11)</f>
        <v>4.55140186915888</v>
      </c>
      <c r="AF11" s="8" t="n">
        <f aca="false">SUMPRODUCT(($A$5:$A$34=A11)*(($P$5:$P$34&lt;AE11*$E$5:$E$34)*$P$5:$P$34+($P$5:$P$34&gt;=AE11*$E$5:$E$34)*AE11*$E$5:$E$34))</f>
        <v>8621</v>
      </c>
      <c r="AG11" s="6" t="n">
        <f aca="false">SUMIFS($E$5:$E$34,$A$5:$A$34,A11,$R$5:$R$34,"&gt;"&amp;AE11)</f>
        <v>0</v>
      </c>
      <c r="AH11" s="17" t="n">
        <f aca="false">IF(AG11=0,AE11,AE11+(Q11-AF11)/AG11)</f>
        <v>4.55140186915888</v>
      </c>
      <c r="AI11" s="8" t="n">
        <f aca="false">MIN(P11,AH11*E11)</f>
        <v>2219</v>
      </c>
    </row>
    <row r="12" customFormat="false" ht="15" hidden="false" customHeight="false" outlineLevel="0" collapsed="false">
      <c r="A12" s="14" t="str">
        <f aca="false">Stock!A12</f>
        <v>Lager 33cl can</v>
      </c>
      <c r="B12" s="14" t="str">
        <f aca="false">Stock!B12</f>
        <v>Depot South-West</v>
      </c>
      <c r="C12" s="14" t="str">
        <f aca="false">INDEX(Inputs!$B$26:$B$31,MATCH(A12,Inputs!$A$26:$A$31,0))</f>
        <v>Fast</v>
      </c>
      <c r="D12" s="14" t="str">
        <f aca="false">INDEX(Inputs!$B$17:$B$21,MATCH(B12,Inputs!$A$17:$A$21,0))</f>
        <v>Y</v>
      </c>
      <c r="E12" s="6" t="n">
        <f aca="false">Stock!C12</f>
        <v>911</v>
      </c>
      <c r="F12" s="6" t="n">
        <f aca="false">Stock!D12+Stock!E12</f>
        <v>4444</v>
      </c>
      <c r="G12" s="8" t="n">
        <f aca="false">IFERROR(F12/E12,0)</f>
        <v>4.8781558726674</v>
      </c>
      <c r="H12" s="6" t="n">
        <f aca="false">INDEX(Inputs!$C$5:$C$7,MATCH(C12,Inputs!$A$5:$A$7,0))</f>
        <v>8</v>
      </c>
      <c r="I12" s="6" t="n">
        <f aca="false">MAX(0,ROUND(H12*E12-F12,0))</f>
        <v>2844</v>
      </c>
      <c r="J12" s="6" t="n">
        <f aca="false">INDEX(Inputs!$C$26:$C$31,MATCH(A12,Inputs!$A$26:$A$31,0))</f>
        <v>11200</v>
      </c>
      <c r="K12" s="6" t="n">
        <f aca="false">SUMIF($A$5:$A$34,A12,$I$5:$I$34)</f>
        <v>8621</v>
      </c>
      <c r="L12" s="14" t="str">
        <f aca="false">IF(K12&gt;J12,"Yes","No")</f>
        <v>No</v>
      </c>
      <c r="M12" s="6" t="n">
        <f aca="false">IF(AND(L12="Yes",D12="Y"),MIN(I12,Inputs!$B$11*E12),0)</f>
        <v>0</v>
      </c>
      <c r="N12" s="6" t="n">
        <f aca="false">SUMIF($A$5:$A$34,A12,$M$5:$M$34)</f>
        <v>0</v>
      </c>
      <c r="O12" s="8" t="n">
        <f aca="false">IF(N12&gt;J12,M12*J12/N12,M12)</f>
        <v>0</v>
      </c>
      <c r="P12" s="6" t="n">
        <f aca="false">I12-O12</f>
        <v>2844</v>
      </c>
      <c r="Q12" s="6" t="n">
        <f aca="false">MAX(0,J12-MIN(N12,J12))</f>
        <v>11200</v>
      </c>
      <c r="R12" s="17" t="n">
        <f aca="false">IF(P12&gt;0,P12/E12,0)</f>
        <v>3.1218441273326</v>
      </c>
      <c r="S12" s="6" t="n">
        <f aca="false">SUMPRODUCT(($A$5:$A$34=A12)*(($P$5:$P$34&lt;R12*$E$5:$E$34)*$P$5:$P$34+($P$5:$P$34&gt;=R12*$E$5:$E$34)*R12*$E$5:$E$34))</f>
        <v>7669.49945115258</v>
      </c>
      <c r="T12" s="17" t="n">
        <f aca="false">IF(AND(P12&gt;0,S12&lt;=Q12),R12,0)</f>
        <v>3.1218441273326</v>
      </c>
      <c r="U12" s="6" t="n">
        <f aca="false">IF(L12="No",I12,ROUNDDOWN(O12+AI12,0))</f>
        <v>2844</v>
      </c>
      <c r="V12" s="8" t="n">
        <f aca="false">IFERROR((F12+U12)/E12,0)</f>
        <v>8</v>
      </c>
      <c r="W12" s="6" t="n">
        <f aca="false">INDEX(Inputs!$B$5:$B$7,MATCH(C12,Inputs!$A$5:$A$7,0))</f>
        <v>5</v>
      </c>
      <c r="X12" s="6" t="n">
        <f aca="false">INDEX(Inputs!$D$5:$D$7,MATCH(C12,Inputs!$A$5:$A$7,0))</f>
        <v>12</v>
      </c>
      <c r="Y12" s="14" t="str">
        <f aca="false">IF(V12&lt;W12,"Below band",IF(V12&gt;X12,"Above band","Within band"))</f>
        <v>Within band</v>
      </c>
      <c r="Z12" s="14" t="str">
        <f aca="false">IF(G12&lt;W12,"Below band",IF(G12&gt;X12,"Above band","Within band"))</f>
        <v>Below band</v>
      </c>
      <c r="AA12" s="6" t="n">
        <f aca="false">MAX(0,ROUNDDOWN((V12-X12)*E12,0))</f>
        <v>0</v>
      </c>
      <c r="AB12" s="6" t="n">
        <f aca="false">MAX(0,ROUNDUP((W12-V12)*E12,0))</f>
        <v>0</v>
      </c>
      <c r="AC12" s="14" t="str">
        <f aca="false">A12&amp;"|"&amp;AA12</f>
        <v>Lager 33cl can|0</v>
      </c>
      <c r="AD12" s="14" t="str">
        <f aca="false">A12&amp;"|"&amp;AB12</f>
        <v>Lager 33cl can|0</v>
      </c>
      <c r="AE12" s="17" t="n">
        <f aca="false">_xlfn.MAXIFS($T$5:$T$34,$A$5:$A$34,A12)</f>
        <v>4.55140186915888</v>
      </c>
      <c r="AF12" s="8" t="n">
        <f aca="false">SUMPRODUCT(($A$5:$A$34=A12)*(($P$5:$P$34&lt;AE12*$E$5:$E$34)*$P$5:$P$34+($P$5:$P$34&gt;=AE12*$E$5:$E$34)*AE12*$E$5:$E$34))</f>
        <v>8621</v>
      </c>
      <c r="AG12" s="6" t="n">
        <f aca="false">SUMIFS($E$5:$E$34,$A$5:$A$34,A12,$R$5:$R$34,"&gt;"&amp;AE12)</f>
        <v>0</v>
      </c>
      <c r="AH12" s="17" t="n">
        <f aca="false">IF(AG12=0,AE12,AE12+(Q12-AF12)/AG12)</f>
        <v>4.55140186915888</v>
      </c>
      <c r="AI12" s="8" t="n">
        <f aca="false">MIN(P12,AH12*E12)</f>
        <v>2844</v>
      </c>
    </row>
    <row r="13" customFormat="false" ht="15" hidden="false" customHeight="false" outlineLevel="0" collapsed="false">
      <c r="A13" s="14" t="str">
        <f aca="false">Stock!A13</f>
        <v>Lager 33cl can</v>
      </c>
      <c r="B13" s="14" t="str">
        <f aca="false">Stock!B13</f>
        <v>Depot South-East</v>
      </c>
      <c r="C13" s="14" t="str">
        <f aca="false">INDEX(Inputs!$B$26:$B$31,MATCH(A13,Inputs!$A$26:$A$31,0))</f>
        <v>Fast</v>
      </c>
      <c r="D13" s="14" t="str">
        <f aca="false">INDEX(Inputs!$B$17:$B$21,MATCH(B13,Inputs!$A$17:$A$21,0))</f>
        <v>N</v>
      </c>
      <c r="E13" s="6" t="n">
        <f aca="false">Stock!C13</f>
        <v>672</v>
      </c>
      <c r="F13" s="6" t="n">
        <f aca="false">Stock!D13+Stock!E13</f>
        <v>4113</v>
      </c>
      <c r="G13" s="8" t="n">
        <f aca="false">IFERROR(F13/E13,0)</f>
        <v>6.12053571428571</v>
      </c>
      <c r="H13" s="6" t="n">
        <f aca="false">INDEX(Inputs!$C$5:$C$7,MATCH(C13,Inputs!$A$5:$A$7,0))</f>
        <v>8</v>
      </c>
      <c r="I13" s="6" t="n">
        <f aca="false">MAX(0,ROUND(H13*E13-F13,0))</f>
        <v>1263</v>
      </c>
      <c r="J13" s="6" t="n">
        <f aca="false">INDEX(Inputs!$C$26:$C$31,MATCH(A13,Inputs!$A$26:$A$31,0))</f>
        <v>11200</v>
      </c>
      <c r="K13" s="6" t="n">
        <f aca="false">SUMIF($A$5:$A$34,A13,$I$5:$I$34)</f>
        <v>8621</v>
      </c>
      <c r="L13" s="14" t="str">
        <f aca="false">IF(K13&gt;J13,"Yes","No")</f>
        <v>No</v>
      </c>
      <c r="M13" s="6" t="n">
        <f aca="false">IF(AND(L13="Yes",D13="Y"),MIN(I13,Inputs!$B$11*E13),0)</f>
        <v>0</v>
      </c>
      <c r="N13" s="6" t="n">
        <f aca="false">SUMIF($A$5:$A$34,A13,$M$5:$M$34)</f>
        <v>0</v>
      </c>
      <c r="O13" s="8" t="n">
        <f aca="false">IF(N13&gt;J13,M13*J13/N13,M13)</f>
        <v>0</v>
      </c>
      <c r="P13" s="6" t="n">
        <f aca="false">I13-O13</f>
        <v>1263</v>
      </c>
      <c r="Q13" s="6" t="n">
        <f aca="false">MAX(0,J13-MIN(N13,J13))</f>
        <v>11200</v>
      </c>
      <c r="R13" s="17" t="n">
        <f aca="false">IF(P13&gt;0,P13/E13,0)</f>
        <v>1.87946428571429</v>
      </c>
      <c r="S13" s="6" t="n">
        <f aca="false">SUMPRODUCT(($A$5:$A$34=A13)*(($P$5:$P$34&lt;R13*$E$5:$E$34)*$P$5:$P$34+($P$5:$P$34&gt;=R13*$E$5:$E$34)*R13*$E$5:$E$34))</f>
        <v>5258.04017857143</v>
      </c>
      <c r="T13" s="17" t="n">
        <f aca="false">IF(AND(P13&gt;0,S13&lt;=Q13),R13,0)</f>
        <v>1.87946428571429</v>
      </c>
      <c r="U13" s="6" t="n">
        <f aca="false">IF(L13="No",I13,ROUNDDOWN(O13+AI13,0))</f>
        <v>1263</v>
      </c>
      <c r="V13" s="8" t="n">
        <f aca="false">IFERROR((F13+U13)/E13,0)</f>
        <v>8</v>
      </c>
      <c r="W13" s="6" t="n">
        <f aca="false">INDEX(Inputs!$B$5:$B$7,MATCH(C13,Inputs!$A$5:$A$7,0))</f>
        <v>5</v>
      </c>
      <c r="X13" s="6" t="n">
        <f aca="false">INDEX(Inputs!$D$5:$D$7,MATCH(C13,Inputs!$A$5:$A$7,0))</f>
        <v>12</v>
      </c>
      <c r="Y13" s="14" t="str">
        <f aca="false">IF(V13&lt;W13,"Below band",IF(V13&gt;X13,"Above band","Within band"))</f>
        <v>Within band</v>
      </c>
      <c r="Z13" s="14" t="str">
        <f aca="false">IF(G13&lt;W13,"Below band",IF(G13&gt;X13,"Above band","Within band"))</f>
        <v>Within band</v>
      </c>
      <c r="AA13" s="6" t="n">
        <f aca="false">MAX(0,ROUNDDOWN((V13-X13)*E13,0))</f>
        <v>0</v>
      </c>
      <c r="AB13" s="6" t="n">
        <f aca="false">MAX(0,ROUNDUP((W13-V13)*E13,0))</f>
        <v>0</v>
      </c>
      <c r="AC13" s="14" t="str">
        <f aca="false">A13&amp;"|"&amp;AA13</f>
        <v>Lager 33cl can|0</v>
      </c>
      <c r="AD13" s="14" t="str">
        <f aca="false">A13&amp;"|"&amp;AB13</f>
        <v>Lager 33cl can|0</v>
      </c>
      <c r="AE13" s="17" t="n">
        <f aca="false">_xlfn.MAXIFS($T$5:$T$34,$A$5:$A$34,A13)</f>
        <v>4.55140186915888</v>
      </c>
      <c r="AF13" s="8" t="n">
        <f aca="false">SUMPRODUCT(($A$5:$A$34=A13)*(($P$5:$P$34&lt;AE13*$E$5:$E$34)*$P$5:$P$34+($P$5:$P$34&gt;=AE13*$E$5:$E$34)*AE13*$E$5:$E$34))</f>
        <v>8621</v>
      </c>
      <c r="AG13" s="6" t="n">
        <f aca="false">SUMIFS($E$5:$E$34,$A$5:$A$34,A13,$R$5:$R$34,"&gt;"&amp;AE13)</f>
        <v>0</v>
      </c>
      <c r="AH13" s="17" t="n">
        <f aca="false">IF(AG13=0,AE13,AE13+(Q13-AF13)/AG13)</f>
        <v>4.55140186915888</v>
      </c>
      <c r="AI13" s="8" t="n">
        <f aca="false">MIN(P13,AH13*E13)</f>
        <v>1263</v>
      </c>
    </row>
    <row r="14" customFormat="false" ht="15" hidden="false" customHeight="false" outlineLevel="0" collapsed="false">
      <c r="A14" s="14" t="str">
        <f aca="false">Stock!A14</f>
        <v>Lager 33cl can</v>
      </c>
      <c r="B14" s="14" t="str">
        <f aca="false">Stock!B14</f>
        <v>Depot Coastal</v>
      </c>
      <c r="C14" s="14" t="str">
        <f aca="false">INDEX(Inputs!$B$26:$B$31,MATCH(A14,Inputs!$A$26:$A$31,0))</f>
        <v>Fast</v>
      </c>
      <c r="D14" s="14" t="str">
        <f aca="false">INDEX(Inputs!$B$17:$B$21,MATCH(B14,Inputs!$A$17:$A$21,0))</f>
        <v>N</v>
      </c>
      <c r="E14" s="6" t="n">
        <f aca="false">Stock!C14</f>
        <v>404</v>
      </c>
      <c r="F14" s="6" t="n">
        <f aca="false">Stock!D14+Stock!E14</f>
        <v>2885</v>
      </c>
      <c r="G14" s="8" t="n">
        <f aca="false">IFERROR(F14/E14,0)</f>
        <v>7.14108910891089</v>
      </c>
      <c r="H14" s="6" t="n">
        <f aca="false">INDEX(Inputs!$C$5:$C$7,MATCH(C14,Inputs!$A$5:$A$7,0))</f>
        <v>8</v>
      </c>
      <c r="I14" s="6" t="n">
        <f aca="false">MAX(0,ROUND(H14*E14-F14,0))</f>
        <v>347</v>
      </c>
      <c r="J14" s="6" t="n">
        <f aca="false">INDEX(Inputs!$C$26:$C$31,MATCH(A14,Inputs!$A$26:$A$31,0))</f>
        <v>11200</v>
      </c>
      <c r="K14" s="6" t="n">
        <f aca="false">SUMIF($A$5:$A$34,A14,$I$5:$I$34)</f>
        <v>8621</v>
      </c>
      <c r="L14" s="14" t="str">
        <f aca="false">IF(K14&gt;J14,"Yes","No")</f>
        <v>No</v>
      </c>
      <c r="M14" s="6" t="n">
        <f aca="false">IF(AND(L14="Yes",D14="Y"),MIN(I14,Inputs!$B$11*E14),0)</f>
        <v>0</v>
      </c>
      <c r="N14" s="6" t="n">
        <f aca="false">SUMIF($A$5:$A$34,A14,$M$5:$M$34)</f>
        <v>0</v>
      </c>
      <c r="O14" s="8" t="n">
        <f aca="false">IF(N14&gt;J14,M14*J14/N14,M14)</f>
        <v>0</v>
      </c>
      <c r="P14" s="6" t="n">
        <f aca="false">I14-O14</f>
        <v>347</v>
      </c>
      <c r="Q14" s="6" t="n">
        <f aca="false">MAX(0,J14-MIN(N14,J14))</f>
        <v>11200</v>
      </c>
      <c r="R14" s="17" t="n">
        <f aca="false">IF(P14&gt;0,P14/E14,0)</f>
        <v>0.858910891089109</v>
      </c>
      <c r="S14" s="6" t="n">
        <f aca="false">SUMPRODUCT(($A$5:$A$34=A14)*(($P$5:$P$34&lt;R14*$E$5:$E$34)*$P$5:$P$34+($P$5:$P$34&gt;=R14*$E$5:$E$34)*R14*$E$5:$E$34))</f>
        <v>2591.33415841584</v>
      </c>
      <c r="T14" s="17" t="n">
        <f aca="false">IF(AND(P14&gt;0,S14&lt;=Q14),R14,0)</f>
        <v>0.858910891089109</v>
      </c>
      <c r="U14" s="6" t="n">
        <f aca="false">IF(L14="No",I14,ROUNDDOWN(O14+AI14,0))</f>
        <v>347</v>
      </c>
      <c r="V14" s="8" t="n">
        <f aca="false">IFERROR((F14+U14)/E14,0)</f>
        <v>8</v>
      </c>
      <c r="W14" s="6" t="n">
        <f aca="false">INDEX(Inputs!$B$5:$B$7,MATCH(C14,Inputs!$A$5:$A$7,0))</f>
        <v>5</v>
      </c>
      <c r="X14" s="6" t="n">
        <f aca="false">INDEX(Inputs!$D$5:$D$7,MATCH(C14,Inputs!$A$5:$A$7,0))</f>
        <v>12</v>
      </c>
      <c r="Y14" s="14" t="str">
        <f aca="false">IF(V14&lt;W14,"Below band",IF(V14&gt;X14,"Above band","Within band"))</f>
        <v>Within band</v>
      </c>
      <c r="Z14" s="14" t="str">
        <f aca="false">IF(G14&lt;W14,"Below band",IF(G14&gt;X14,"Above band","Within band"))</f>
        <v>Within band</v>
      </c>
      <c r="AA14" s="6" t="n">
        <f aca="false">MAX(0,ROUNDDOWN((V14-X14)*E14,0))</f>
        <v>0</v>
      </c>
      <c r="AB14" s="6" t="n">
        <f aca="false">MAX(0,ROUNDUP((W14-V14)*E14,0))</f>
        <v>0</v>
      </c>
      <c r="AC14" s="14" t="str">
        <f aca="false">A14&amp;"|"&amp;AA14</f>
        <v>Lager 33cl can|0</v>
      </c>
      <c r="AD14" s="14" t="str">
        <f aca="false">A14&amp;"|"&amp;AB14</f>
        <v>Lager 33cl can|0</v>
      </c>
      <c r="AE14" s="17" t="n">
        <f aca="false">_xlfn.MAXIFS($T$5:$T$34,$A$5:$A$34,A14)</f>
        <v>4.55140186915888</v>
      </c>
      <c r="AF14" s="8" t="n">
        <f aca="false">SUMPRODUCT(($A$5:$A$34=A14)*(($P$5:$P$34&lt;AE14*$E$5:$E$34)*$P$5:$P$34+($P$5:$P$34&gt;=AE14*$E$5:$E$34)*AE14*$E$5:$E$34))</f>
        <v>8621</v>
      </c>
      <c r="AG14" s="6" t="n">
        <f aca="false">SUMIFS($E$5:$E$34,$A$5:$A$34,A14,$R$5:$R$34,"&gt;"&amp;AE14)</f>
        <v>0</v>
      </c>
      <c r="AH14" s="17" t="n">
        <f aca="false">IF(AG14=0,AE14,AE14+(Q14-AF14)/AG14)</f>
        <v>4.55140186915888</v>
      </c>
      <c r="AI14" s="8" t="n">
        <f aca="false">MIN(P14,AH14*E14)</f>
        <v>347</v>
      </c>
    </row>
    <row r="15" customFormat="false" ht="15" hidden="false" customHeight="false" outlineLevel="0" collapsed="false">
      <c r="A15" s="14" t="str">
        <f aca="false">Stock!A15</f>
        <v>Malt drink 33cl can</v>
      </c>
      <c r="B15" s="14" t="str">
        <f aca="false">Stock!B15</f>
        <v>Depot North</v>
      </c>
      <c r="C15" s="14" t="str">
        <f aca="false">INDEX(Inputs!$B$26:$B$31,MATCH(A15,Inputs!$A$26:$A$31,0))</f>
        <v>Medium</v>
      </c>
      <c r="D15" s="14" t="str">
        <f aca="false">INDEX(Inputs!$B$17:$B$21,MATCH(B15,Inputs!$A$17:$A$21,0))</f>
        <v>N</v>
      </c>
      <c r="E15" s="6" t="n">
        <f aca="false">Stock!C15</f>
        <v>243</v>
      </c>
      <c r="F15" s="6" t="n">
        <f aca="false">Stock!D15+Stock!E15</f>
        <v>1032</v>
      </c>
      <c r="G15" s="8" t="n">
        <f aca="false">IFERROR(F15/E15,0)</f>
        <v>4.24691358024691</v>
      </c>
      <c r="H15" s="6" t="n">
        <f aca="false">INDEX(Inputs!$C$5:$C$7,MATCH(C15,Inputs!$A$5:$A$7,0))</f>
        <v>12</v>
      </c>
      <c r="I15" s="6" t="n">
        <f aca="false">MAX(0,ROUND(H15*E15-F15,0))</f>
        <v>1884</v>
      </c>
      <c r="J15" s="6" t="n">
        <f aca="false">INDEX(Inputs!$C$26:$C$31,MATCH(A15,Inputs!$A$26:$A$31,0))</f>
        <v>5700</v>
      </c>
      <c r="K15" s="6" t="n">
        <f aca="false">SUMIF($A$5:$A$34,A15,$I$5:$I$34)</f>
        <v>8195</v>
      </c>
      <c r="L15" s="14" t="str">
        <f aca="false">IF(K15&gt;J15,"Yes","No")</f>
        <v>Yes</v>
      </c>
      <c r="M15" s="6" t="n">
        <f aca="false">IF(AND(L15="Yes",D15="Y"),MIN(I15,Inputs!$B$11*E15),0)</f>
        <v>0</v>
      </c>
      <c r="N15" s="6" t="n">
        <f aca="false">SUMIF($A$5:$A$34,A15,$M$5:$M$34)</f>
        <v>2553</v>
      </c>
      <c r="O15" s="8" t="n">
        <f aca="false">IF(N15&gt;J15,M15*J15/N15,M15)</f>
        <v>0</v>
      </c>
      <c r="P15" s="6" t="n">
        <f aca="false">I15-O15</f>
        <v>1884</v>
      </c>
      <c r="Q15" s="6" t="n">
        <f aca="false">MAX(0,J15-MIN(N15,J15))</f>
        <v>3147</v>
      </c>
      <c r="R15" s="17" t="n">
        <f aca="false">IF(P15&gt;0,P15/E15,0)</f>
        <v>7.75308641975309</v>
      </c>
      <c r="S15" s="6" t="n">
        <f aca="false">SUMPRODUCT(($A$5:$A$34=A15)*(($P$5:$P$34&lt;R15*$E$5:$E$34)*$P$5:$P$34+($P$5:$P$34&gt;=R15*$E$5:$E$34)*R15*$E$5:$E$34))</f>
        <v>5642</v>
      </c>
      <c r="T15" s="17" t="n">
        <f aca="false">IF(AND(P15&gt;0,S15&lt;=Q15),R15,0)</f>
        <v>0</v>
      </c>
      <c r="U15" s="6" t="n">
        <f aca="false">IF(L15="No",I15,ROUNDDOWN(O15+AI15,0))</f>
        <v>616</v>
      </c>
      <c r="V15" s="8" t="n">
        <f aca="false">IFERROR((F15+U15)/E15,0)</f>
        <v>6.78189300411523</v>
      </c>
      <c r="W15" s="6" t="n">
        <f aca="false">INDEX(Inputs!$B$5:$B$7,MATCH(C15,Inputs!$A$5:$A$7,0))</f>
        <v>7</v>
      </c>
      <c r="X15" s="6" t="n">
        <f aca="false">INDEX(Inputs!$D$5:$D$7,MATCH(C15,Inputs!$A$5:$A$7,0))</f>
        <v>18</v>
      </c>
      <c r="Y15" s="14" t="str">
        <f aca="false">IF(V15&lt;W15,"Below band",IF(V15&gt;X15,"Above band","Within band"))</f>
        <v>Below band</v>
      </c>
      <c r="Z15" s="14" t="str">
        <f aca="false">IF(G15&lt;W15,"Below band",IF(G15&gt;X15,"Above band","Within band"))</f>
        <v>Below band</v>
      </c>
      <c r="AA15" s="6" t="n">
        <f aca="false">MAX(0,ROUNDDOWN((V15-X15)*E15,0))</f>
        <v>0</v>
      </c>
      <c r="AB15" s="6" t="n">
        <f aca="false">MAX(0,ROUNDUP((W15-V15)*E15,0))</f>
        <v>53</v>
      </c>
      <c r="AC15" s="14" t="str">
        <f aca="false">A15&amp;"|"&amp;AA15</f>
        <v>Malt drink 33cl can|0</v>
      </c>
      <c r="AD15" s="14" t="str">
        <f aca="false">A15&amp;"|"&amp;AB15</f>
        <v>Malt drink 33cl can|53</v>
      </c>
      <c r="AE15" s="17" t="n">
        <f aca="false">_xlfn.MAXIFS($T$5:$T$34,$A$5:$A$34,A15)</f>
        <v>1.98471615720524</v>
      </c>
      <c r="AF15" s="8" t="n">
        <f aca="false">SUMPRODUCT(($A$5:$A$34=A15)*(($P$5:$P$34&lt;AE15*$E$5:$E$34)*$P$5:$P$34+($P$5:$P$34&gt;=AE15*$E$5:$E$34)*AE15*$E$5:$E$34))</f>
        <v>2796.27947598253</v>
      </c>
      <c r="AG15" s="6" t="n">
        <f aca="false">SUMIFS($E$5:$E$34,$A$5:$A$34,A15,$R$5:$R$34,"&gt;"&amp;AE15)</f>
        <v>636</v>
      </c>
      <c r="AH15" s="17" t="n">
        <f aca="false">IF(AG15=0,AE15,AE15+(Q15-AF15)/AG15)</f>
        <v>2.53616352201258</v>
      </c>
      <c r="AI15" s="8" t="n">
        <f aca="false">MIN(P15,AH15*E15)</f>
        <v>616.287735849057</v>
      </c>
    </row>
    <row r="16" customFormat="false" ht="15" hidden="false" customHeight="false" outlineLevel="0" collapsed="false">
      <c r="A16" s="14" t="str">
        <f aca="false">Stock!A16</f>
        <v>Malt drink 33cl can</v>
      </c>
      <c r="B16" s="14" t="str">
        <f aca="false">Stock!B16</f>
        <v>Depot Central</v>
      </c>
      <c r="C16" s="14" t="str">
        <f aca="false">INDEX(Inputs!$B$26:$B$31,MATCH(A16,Inputs!$A$26:$A$31,0))</f>
        <v>Medium</v>
      </c>
      <c r="D16" s="14" t="str">
        <f aca="false">INDEX(Inputs!$B$17:$B$21,MATCH(B16,Inputs!$A$17:$A$21,0))</f>
        <v>Y</v>
      </c>
      <c r="E16" s="6" t="n">
        <f aca="false">Stock!C16</f>
        <v>393</v>
      </c>
      <c r="F16" s="6" t="n">
        <f aca="false">Stock!D16+Stock!E16</f>
        <v>1313</v>
      </c>
      <c r="G16" s="8" t="n">
        <f aca="false">IFERROR(F16/E16,0)</f>
        <v>3.34096692111959</v>
      </c>
      <c r="H16" s="6" t="n">
        <f aca="false">INDEX(Inputs!$C$5:$C$7,MATCH(C16,Inputs!$A$5:$A$7,0))</f>
        <v>12</v>
      </c>
      <c r="I16" s="6" t="n">
        <f aca="false">MAX(0,ROUND(H16*E16-F16,0))</f>
        <v>3403</v>
      </c>
      <c r="J16" s="6" t="n">
        <f aca="false">INDEX(Inputs!$C$26:$C$31,MATCH(A16,Inputs!$A$26:$A$31,0))</f>
        <v>5700</v>
      </c>
      <c r="K16" s="6" t="n">
        <f aca="false">SUMIF($A$5:$A$34,A16,$I$5:$I$34)</f>
        <v>8195</v>
      </c>
      <c r="L16" s="14" t="str">
        <f aca="false">IF(K16&gt;J16,"Yes","No")</f>
        <v>Yes</v>
      </c>
      <c r="M16" s="6" t="n">
        <f aca="false">IF(AND(L16="Yes",D16="Y"),MIN(I16,Inputs!$B$11*E16),0)</f>
        <v>1179</v>
      </c>
      <c r="N16" s="6" t="n">
        <f aca="false">SUMIF($A$5:$A$34,A16,$M$5:$M$34)</f>
        <v>2553</v>
      </c>
      <c r="O16" s="8" t="n">
        <f aca="false">IF(N16&gt;J16,M16*J16/N16,M16)</f>
        <v>1179</v>
      </c>
      <c r="P16" s="6" t="n">
        <f aca="false">I16-O16</f>
        <v>2224</v>
      </c>
      <c r="Q16" s="6" t="n">
        <f aca="false">MAX(0,J16-MIN(N16,J16))</f>
        <v>3147</v>
      </c>
      <c r="R16" s="17" t="n">
        <f aca="false">IF(P16&gt;0,P16/E16,0)</f>
        <v>5.65903307888041</v>
      </c>
      <c r="S16" s="6" t="n">
        <f aca="false">SUMPRODUCT(($A$5:$A$34=A16)*(($P$5:$P$34&lt;R16*$E$5:$E$34)*$P$5:$P$34+($P$5:$P$34&gt;=R16*$E$5:$E$34)*R16*$E$5:$E$34))</f>
        <v>5133.14503816794</v>
      </c>
      <c r="T16" s="17" t="n">
        <f aca="false">IF(AND(P16&gt;0,S16&lt;=Q16),R16,0)</f>
        <v>0</v>
      </c>
      <c r="U16" s="6" t="n">
        <f aca="false">IF(L16="No",I16,ROUNDDOWN(O16+AI16,0))</f>
        <v>2175</v>
      </c>
      <c r="V16" s="8" t="n">
        <f aca="false">IFERROR((F16+U16)/E16,0)</f>
        <v>8.87531806615776</v>
      </c>
      <c r="W16" s="6" t="n">
        <f aca="false">INDEX(Inputs!$B$5:$B$7,MATCH(C16,Inputs!$A$5:$A$7,0))</f>
        <v>7</v>
      </c>
      <c r="X16" s="6" t="n">
        <f aca="false">INDEX(Inputs!$D$5:$D$7,MATCH(C16,Inputs!$A$5:$A$7,0))</f>
        <v>18</v>
      </c>
      <c r="Y16" s="14" t="str">
        <f aca="false">IF(V16&lt;W16,"Below band",IF(V16&gt;X16,"Above band","Within band"))</f>
        <v>Within band</v>
      </c>
      <c r="Z16" s="14" t="str">
        <f aca="false">IF(G16&lt;W16,"Below band",IF(G16&gt;X16,"Above band","Within band"))</f>
        <v>Below band</v>
      </c>
      <c r="AA16" s="6" t="n">
        <f aca="false">MAX(0,ROUNDDOWN((V16-X16)*E16,0))</f>
        <v>0</v>
      </c>
      <c r="AB16" s="6" t="n">
        <f aca="false">MAX(0,ROUNDUP((W16-V16)*E16,0))</f>
        <v>0</v>
      </c>
      <c r="AC16" s="14" t="str">
        <f aca="false">A16&amp;"|"&amp;AA16</f>
        <v>Malt drink 33cl can|0</v>
      </c>
      <c r="AD16" s="14" t="str">
        <f aca="false">A16&amp;"|"&amp;AB16</f>
        <v>Malt drink 33cl can|0</v>
      </c>
      <c r="AE16" s="17" t="n">
        <f aca="false">_xlfn.MAXIFS($T$5:$T$34,$A$5:$A$34,A16)</f>
        <v>1.98471615720524</v>
      </c>
      <c r="AF16" s="8" t="n">
        <f aca="false">SUMPRODUCT(($A$5:$A$34=A16)*(($P$5:$P$34&lt;AE16*$E$5:$E$34)*$P$5:$P$34+($P$5:$P$34&gt;=AE16*$E$5:$E$34)*AE16*$E$5:$E$34))</f>
        <v>2796.27947598253</v>
      </c>
      <c r="AG16" s="6" t="n">
        <f aca="false">SUMIFS($E$5:$E$34,$A$5:$A$34,A16,$R$5:$R$34,"&gt;"&amp;AE16)</f>
        <v>636</v>
      </c>
      <c r="AH16" s="17" t="n">
        <f aca="false">IF(AG16=0,AE16,AE16+(Q16-AF16)/AG16)</f>
        <v>2.53616352201258</v>
      </c>
      <c r="AI16" s="8" t="n">
        <f aca="false">MIN(P16,AH16*E16)</f>
        <v>996.712264150943</v>
      </c>
    </row>
    <row r="17" customFormat="false" ht="15" hidden="false" customHeight="false" outlineLevel="0" collapsed="false">
      <c r="A17" s="14" t="str">
        <f aca="false">Stock!A17</f>
        <v>Malt drink 33cl can</v>
      </c>
      <c r="B17" s="14" t="str">
        <f aca="false">Stock!B17</f>
        <v>Depot South-West</v>
      </c>
      <c r="C17" s="14" t="str">
        <f aca="false">INDEX(Inputs!$B$26:$B$31,MATCH(A17,Inputs!$A$26:$A$31,0))</f>
        <v>Medium</v>
      </c>
      <c r="D17" s="14" t="str">
        <f aca="false">INDEX(Inputs!$B$17:$B$21,MATCH(B17,Inputs!$A$17:$A$21,0))</f>
        <v>Y</v>
      </c>
      <c r="E17" s="6" t="n">
        <f aca="false">Stock!C17</f>
        <v>458</v>
      </c>
      <c r="F17" s="6" t="n">
        <f aca="false">Stock!D17+Stock!E17</f>
        <v>3213</v>
      </c>
      <c r="G17" s="8" t="n">
        <f aca="false">IFERROR(F17/E17,0)</f>
        <v>7.01528384279476</v>
      </c>
      <c r="H17" s="6" t="n">
        <f aca="false">INDEX(Inputs!$C$5:$C$7,MATCH(C17,Inputs!$A$5:$A$7,0))</f>
        <v>12</v>
      </c>
      <c r="I17" s="6" t="n">
        <f aca="false">MAX(0,ROUND(H17*E17-F17,0))</f>
        <v>2283</v>
      </c>
      <c r="J17" s="6" t="n">
        <f aca="false">INDEX(Inputs!$C$26:$C$31,MATCH(A17,Inputs!$A$26:$A$31,0))</f>
        <v>5700</v>
      </c>
      <c r="K17" s="6" t="n">
        <f aca="false">SUMIF($A$5:$A$34,A17,$I$5:$I$34)</f>
        <v>8195</v>
      </c>
      <c r="L17" s="14" t="str">
        <f aca="false">IF(K17&gt;J17,"Yes","No")</f>
        <v>Yes</v>
      </c>
      <c r="M17" s="6" t="n">
        <f aca="false">IF(AND(L17="Yes",D17="Y"),MIN(I17,Inputs!$B$11*E17),0)</f>
        <v>1374</v>
      </c>
      <c r="N17" s="6" t="n">
        <f aca="false">SUMIF($A$5:$A$34,A17,$M$5:$M$34)</f>
        <v>2553</v>
      </c>
      <c r="O17" s="8" t="n">
        <f aca="false">IF(N17&gt;J17,M17*J17/N17,M17)</f>
        <v>1374</v>
      </c>
      <c r="P17" s="6" t="n">
        <f aca="false">I17-O17</f>
        <v>909</v>
      </c>
      <c r="Q17" s="6" t="n">
        <f aca="false">MAX(0,J17-MIN(N17,J17))</f>
        <v>3147</v>
      </c>
      <c r="R17" s="17" t="n">
        <f aca="false">IF(P17&gt;0,P17/E17,0)</f>
        <v>1.98471615720524</v>
      </c>
      <c r="S17" s="6" t="n">
        <f aca="false">SUMPRODUCT(($A$5:$A$34=A17)*(($P$5:$P$34&lt;R17*$E$5:$E$34)*$P$5:$P$34+($P$5:$P$34&gt;=R17*$E$5:$E$34)*R17*$E$5:$E$34))</f>
        <v>2796.27947598253</v>
      </c>
      <c r="T17" s="17" t="n">
        <f aca="false">IF(AND(P17&gt;0,S17&lt;=Q17),R17,0)</f>
        <v>1.98471615720524</v>
      </c>
      <c r="U17" s="6" t="n">
        <f aca="false">IF(L17="No",I17,ROUNDDOWN(O17+AI17,0))</f>
        <v>2283</v>
      </c>
      <c r="V17" s="8" t="n">
        <f aca="false">IFERROR((F17+U17)/E17,0)</f>
        <v>12</v>
      </c>
      <c r="W17" s="6" t="n">
        <f aca="false">INDEX(Inputs!$B$5:$B$7,MATCH(C17,Inputs!$A$5:$A$7,0))</f>
        <v>7</v>
      </c>
      <c r="X17" s="6" t="n">
        <f aca="false">INDEX(Inputs!$D$5:$D$7,MATCH(C17,Inputs!$A$5:$A$7,0))</f>
        <v>18</v>
      </c>
      <c r="Y17" s="14" t="str">
        <f aca="false">IF(V17&lt;W17,"Below band",IF(V17&gt;X17,"Above band","Within band"))</f>
        <v>Within band</v>
      </c>
      <c r="Z17" s="14" t="str">
        <f aca="false">IF(G17&lt;W17,"Below band",IF(G17&gt;X17,"Above band","Within band"))</f>
        <v>Within band</v>
      </c>
      <c r="AA17" s="6" t="n">
        <f aca="false">MAX(0,ROUNDDOWN((V17-X17)*E17,0))</f>
        <v>0</v>
      </c>
      <c r="AB17" s="6" t="n">
        <f aca="false">MAX(0,ROUNDUP((W17-V17)*E17,0))</f>
        <v>0</v>
      </c>
      <c r="AC17" s="14" t="str">
        <f aca="false">A17&amp;"|"&amp;AA17</f>
        <v>Malt drink 33cl can|0</v>
      </c>
      <c r="AD17" s="14" t="str">
        <f aca="false">A17&amp;"|"&amp;AB17</f>
        <v>Malt drink 33cl can|0</v>
      </c>
      <c r="AE17" s="17" t="n">
        <f aca="false">_xlfn.MAXIFS($T$5:$T$34,$A$5:$A$34,A17)</f>
        <v>1.98471615720524</v>
      </c>
      <c r="AF17" s="8" t="n">
        <f aca="false">SUMPRODUCT(($A$5:$A$34=A17)*(($P$5:$P$34&lt;AE17*$E$5:$E$34)*$P$5:$P$34+($P$5:$P$34&gt;=AE17*$E$5:$E$34)*AE17*$E$5:$E$34))</f>
        <v>2796.27947598253</v>
      </c>
      <c r="AG17" s="6" t="n">
        <f aca="false">SUMIFS($E$5:$E$34,$A$5:$A$34,A17,$R$5:$R$34,"&gt;"&amp;AE17)</f>
        <v>636</v>
      </c>
      <c r="AH17" s="17" t="n">
        <f aca="false">IF(AG17=0,AE17,AE17+(Q17-AF17)/AG17)</f>
        <v>2.53616352201258</v>
      </c>
      <c r="AI17" s="8" t="n">
        <f aca="false">MIN(P17,AH17*E17)</f>
        <v>909</v>
      </c>
    </row>
    <row r="18" customFormat="false" ht="15" hidden="false" customHeight="false" outlineLevel="0" collapsed="false">
      <c r="A18" s="14" t="str">
        <f aca="false">Stock!A18</f>
        <v>Malt drink 33cl can</v>
      </c>
      <c r="B18" s="14" t="str">
        <f aca="false">Stock!B18</f>
        <v>Depot South-East</v>
      </c>
      <c r="C18" s="14" t="str">
        <f aca="false">INDEX(Inputs!$B$26:$B$31,MATCH(A18,Inputs!$A$26:$A$31,0))</f>
        <v>Medium</v>
      </c>
      <c r="D18" s="14" t="str">
        <f aca="false">INDEX(Inputs!$B$17:$B$21,MATCH(B18,Inputs!$A$17:$A$21,0))</f>
        <v>N</v>
      </c>
      <c r="E18" s="6" t="n">
        <f aca="false">Stock!C18</f>
        <v>339</v>
      </c>
      <c r="F18" s="6" t="n">
        <f aca="false">Stock!D18+Stock!E18</f>
        <v>3443</v>
      </c>
      <c r="G18" s="8" t="n">
        <f aca="false">IFERROR(F18/E18,0)</f>
        <v>10.1563421828909</v>
      </c>
      <c r="H18" s="6" t="n">
        <f aca="false">INDEX(Inputs!$C$5:$C$7,MATCH(C18,Inputs!$A$5:$A$7,0))</f>
        <v>12</v>
      </c>
      <c r="I18" s="6" t="n">
        <f aca="false">MAX(0,ROUND(H18*E18-F18,0))</f>
        <v>625</v>
      </c>
      <c r="J18" s="6" t="n">
        <f aca="false">INDEX(Inputs!$C$26:$C$31,MATCH(A18,Inputs!$A$26:$A$31,0))</f>
        <v>5700</v>
      </c>
      <c r="K18" s="6" t="n">
        <f aca="false">SUMIF($A$5:$A$34,A18,$I$5:$I$34)</f>
        <v>8195</v>
      </c>
      <c r="L18" s="14" t="str">
        <f aca="false">IF(K18&gt;J18,"Yes","No")</f>
        <v>Yes</v>
      </c>
      <c r="M18" s="6" t="n">
        <f aca="false">IF(AND(L18="Yes",D18="Y"),MIN(I18,Inputs!$B$11*E18),0)</f>
        <v>0</v>
      </c>
      <c r="N18" s="6" t="n">
        <f aca="false">SUMIF($A$5:$A$34,A18,$M$5:$M$34)</f>
        <v>2553</v>
      </c>
      <c r="O18" s="8" t="n">
        <f aca="false">IF(N18&gt;J18,M18*J18/N18,M18)</f>
        <v>0</v>
      </c>
      <c r="P18" s="6" t="n">
        <f aca="false">I18-O18</f>
        <v>625</v>
      </c>
      <c r="Q18" s="6" t="n">
        <f aca="false">MAX(0,J18-MIN(N18,J18))</f>
        <v>3147</v>
      </c>
      <c r="R18" s="17" t="n">
        <f aca="false">IF(P18&gt;0,P18/E18,0)</f>
        <v>1.84365781710914</v>
      </c>
      <c r="S18" s="6" t="n">
        <f aca="false">SUMPRODUCT(($A$5:$A$34=A18)*(($P$5:$P$34&lt;R18*$E$5:$E$34)*$P$5:$P$34+($P$5:$P$34&gt;=R18*$E$5:$E$34)*R18*$E$5:$E$34))</f>
        <v>2641.9616519174</v>
      </c>
      <c r="T18" s="17" t="n">
        <f aca="false">IF(AND(P18&gt;0,S18&lt;=Q18),R18,0)</f>
        <v>1.84365781710914</v>
      </c>
      <c r="U18" s="6" t="n">
        <f aca="false">IF(L18="No",I18,ROUNDDOWN(O18+AI18,0))</f>
        <v>625</v>
      </c>
      <c r="V18" s="8" t="n">
        <f aca="false">IFERROR((F18+U18)/E18,0)</f>
        <v>12</v>
      </c>
      <c r="W18" s="6" t="n">
        <f aca="false">INDEX(Inputs!$B$5:$B$7,MATCH(C18,Inputs!$A$5:$A$7,0))</f>
        <v>7</v>
      </c>
      <c r="X18" s="6" t="n">
        <f aca="false">INDEX(Inputs!$D$5:$D$7,MATCH(C18,Inputs!$A$5:$A$7,0))</f>
        <v>18</v>
      </c>
      <c r="Y18" s="14" t="str">
        <f aca="false">IF(V18&lt;W18,"Below band",IF(V18&gt;X18,"Above band","Within band"))</f>
        <v>Within band</v>
      </c>
      <c r="Z18" s="14" t="str">
        <f aca="false">IF(G18&lt;W18,"Below band",IF(G18&gt;X18,"Above band","Within band"))</f>
        <v>Within band</v>
      </c>
      <c r="AA18" s="6" t="n">
        <f aca="false">MAX(0,ROUNDDOWN((V18-X18)*E18,0))</f>
        <v>0</v>
      </c>
      <c r="AB18" s="6" t="n">
        <f aca="false">MAX(0,ROUNDUP((W18-V18)*E18,0))</f>
        <v>0</v>
      </c>
      <c r="AC18" s="14" t="str">
        <f aca="false">A18&amp;"|"&amp;AA18</f>
        <v>Malt drink 33cl can|0</v>
      </c>
      <c r="AD18" s="14" t="str">
        <f aca="false">A18&amp;"|"&amp;AB18</f>
        <v>Malt drink 33cl can|0</v>
      </c>
      <c r="AE18" s="17" t="n">
        <f aca="false">_xlfn.MAXIFS($T$5:$T$34,$A$5:$A$34,A18)</f>
        <v>1.98471615720524</v>
      </c>
      <c r="AF18" s="8" t="n">
        <f aca="false">SUMPRODUCT(($A$5:$A$34=A18)*(($P$5:$P$34&lt;AE18*$E$5:$E$34)*$P$5:$P$34+($P$5:$P$34&gt;=AE18*$E$5:$E$34)*AE18*$E$5:$E$34))</f>
        <v>2796.27947598253</v>
      </c>
      <c r="AG18" s="6" t="n">
        <f aca="false">SUMIFS($E$5:$E$34,$A$5:$A$34,A18,$R$5:$R$34,"&gt;"&amp;AE18)</f>
        <v>636</v>
      </c>
      <c r="AH18" s="17" t="n">
        <f aca="false">IF(AG18=0,AE18,AE18+(Q18-AF18)/AG18)</f>
        <v>2.53616352201258</v>
      </c>
      <c r="AI18" s="8" t="n">
        <f aca="false">MIN(P18,AH18*E18)</f>
        <v>625</v>
      </c>
    </row>
    <row r="19" customFormat="false" ht="15" hidden="false" customHeight="false" outlineLevel="0" collapsed="false">
      <c r="A19" s="14" t="str">
        <f aca="false">Stock!A19</f>
        <v>Malt drink 33cl can</v>
      </c>
      <c r="B19" s="14" t="str">
        <f aca="false">Stock!B19</f>
        <v>Depot Coastal</v>
      </c>
      <c r="C19" s="14" t="str">
        <f aca="false">INDEX(Inputs!$B$26:$B$31,MATCH(A19,Inputs!$A$26:$A$31,0))</f>
        <v>Medium</v>
      </c>
      <c r="D19" s="14" t="str">
        <f aca="false">INDEX(Inputs!$B$17:$B$21,MATCH(B19,Inputs!$A$17:$A$21,0))</f>
        <v>N</v>
      </c>
      <c r="E19" s="6" t="n">
        <f aca="false">Stock!C19</f>
        <v>237</v>
      </c>
      <c r="F19" s="6" t="n">
        <f aca="false">Stock!D19+Stock!E19</f>
        <v>5688</v>
      </c>
      <c r="G19" s="8" t="n">
        <f aca="false">IFERROR(F19/E19,0)</f>
        <v>24</v>
      </c>
      <c r="H19" s="6" t="n">
        <f aca="false">INDEX(Inputs!$C$5:$C$7,MATCH(C19,Inputs!$A$5:$A$7,0))</f>
        <v>12</v>
      </c>
      <c r="I19" s="6" t="n">
        <f aca="false">MAX(0,ROUND(H19*E19-F19,0))</f>
        <v>0</v>
      </c>
      <c r="J19" s="6" t="n">
        <f aca="false">INDEX(Inputs!$C$26:$C$31,MATCH(A19,Inputs!$A$26:$A$31,0))</f>
        <v>5700</v>
      </c>
      <c r="K19" s="6" t="n">
        <f aca="false">SUMIF($A$5:$A$34,A19,$I$5:$I$34)</f>
        <v>8195</v>
      </c>
      <c r="L19" s="14" t="str">
        <f aca="false">IF(K19&gt;J19,"Yes","No")</f>
        <v>Yes</v>
      </c>
      <c r="M19" s="6" t="n">
        <f aca="false">IF(AND(L19="Yes",D19="Y"),MIN(I19,Inputs!$B$11*E19),0)</f>
        <v>0</v>
      </c>
      <c r="N19" s="6" t="n">
        <f aca="false">SUMIF($A$5:$A$34,A19,$M$5:$M$34)</f>
        <v>2553</v>
      </c>
      <c r="O19" s="8" t="n">
        <f aca="false">IF(N19&gt;J19,M19*J19/N19,M19)</f>
        <v>0</v>
      </c>
      <c r="P19" s="6" t="n">
        <f aca="false">I19-O19</f>
        <v>0</v>
      </c>
      <c r="Q19" s="6" t="n">
        <f aca="false">MAX(0,J19-MIN(N19,J19))</f>
        <v>3147</v>
      </c>
      <c r="R19" s="17" t="n">
        <f aca="false">IF(P19&gt;0,P19/E19,0)</f>
        <v>0</v>
      </c>
      <c r="S19" s="6" t="n">
        <f aca="false">SUMPRODUCT(($A$5:$A$34=A19)*(($P$5:$P$34&lt;R19*$E$5:$E$34)*$P$5:$P$34+($P$5:$P$34&gt;=R19*$E$5:$E$34)*R19*$E$5:$E$34))</f>
        <v>0</v>
      </c>
      <c r="T19" s="17" t="n">
        <f aca="false">IF(AND(P19&gt;0,S19&lt;=Q19),R19,0)</f>
        <v>0</v>
      </c>
      <c r="U19" s="6" t="n">
        <f aca="false">IF(L19="No",I19,ROUNDDOWN(O19+AI19,0))</f>
        <v>0</v>
      </c>
      <c r="V19" s="8" t="n">
        <f aca="false">IFERROR((F19+U19)/E19,0)</f>
        <v>24</v>
      </c>
      <c r="W19" s="6" t="n">
        <f aca="false">INDEX(Inputs!$B$5:$B$7,MATCH(C19,Inputs!$A$5:$A$7,0))</f>
        <v>7</v>
      </c>
      <c r="X19" s="6" t="n">
        <f aca="false">INDEX(Inputs!$D$5:$D$7,MATCH(C19,Inputs!$A$5:$A$7,0))</f>
        <v>18</v>
      </c>
      <c r="Y19" s="14" t="str">
        <f aca="false">IF(V19&lt;W19,"Below band",IF(V19&gt;X19,"Above band","Within band"))</f>
        <v>Above band</v>
      </c>
      <c r="Z19" s="14" t="str">
        <f aca="false">IF(G19&lt;W19,"Below band",IF(G19&gt;X19,"Above band","Within band"))</f>
        <v>Above band</v>
      </c>
      <c r="AA19" s="6" t="n">
        <f aca="false">MAX(0,ROUNDDOWN((V19-X19)*E19,0))</f>
        <v>1422</v>
      </c>
      <c r="AB19" s="6" t="n">
        <f aca="false">MAX(0,ROUNDUP((W19-V19)*E19,0))</f>
        <v>0</v>
      </c>
      <c r="AC19" s="14" t="str">
        <f aca="false">A19&amp;"|"&amp;AA19</f>
        <v>Malt drink 33cl can|1422</v>
      </c>
      <c r="AD19" s="14" t="str">
        <f aca="false">A19&amp;"|"&amp;AB19</f>
        <v>Malt drink 33cl can|0</v>
      </c>
      <c r="AE19" s="17" t="n">
        <f aca="false">_xlfn.MAXIFS($T$5:$T$34,$A$5:$A$34,A19)</f>
        <v>1.98471615720524</v>
      </c>
      <c r="AF19" s="8" t="n">
        <f aca="false">SUMPRODUCT(($A$5:$A$34=A19)*(($P$5:$P$34&lt;AE19*$E$5:$E$34)*$P$5:$P$34+($P$5:$P$34&gt;=AE19*$E$5:$E$34)*AE19*$E$5:$E$34))</f>
        <v>2796.27947598253</v>
      </c>
      <c r="AG19" s="6" t="n">
        <f aca="false">SUMIFS($E$5:$E$34,$A$5:$A$34,A19,$R$5:$R$34,"&gt;"&amp;AE19)</f>
        <v>636</v>
      </c>
      <c r="AH19" s="17" t="n">
        <f aca="false">IF(AG19=0,AE19,AE19+(Q19-AF19)/AG19)</f>
        <v>2.53616352201258</v>
      </c>
      <c r="AI19" s="8" t="n">
        <f aca="false">MIN(P19,AH19*E19)</f>
        <v>0</v>
      </c>
    </row>
    <row r="20" customFormat="false" ht="15" hidden="false" customHeight="false" outlineLevel="0" collapsed="false">
      <c r="A20" s="14" t="str">
        <f aca="false">Stock!A20</f>
        <v>Stout 60cl bottle</v>
      </c>
      <c r="B20" s="14" t="str">
        <f aca="false">Stock!B20</f>
        <v>Depot North</v>
      </c>
      <c r="C20" s="14" t="str">
        <f aca="false">INDEX(Inputs!$B$26:$B$31,MATCH(A20,Inputs!$A$26:$A$31,0))</f>
        <v>Medium</v>
      </c>
      <c r="D20" s="14" t="str">
        <f aca="false">INDEX(Inputs!$B$17:$B$21,MATCH(B20,Inputs!$A$17:$A$21,0))</f>
        <v>N</v>
      </c>
      <c r="E20" s="6" t="n">
        <f aca="false">Stock!C20</f>
        <v>182</v>
      </c>
      <c r="F20" s="6" t="n">
        <f aca="false">Stock!D20+Stock!E20</f>
        <v>5241</v>
      </c>
      <c r="G20" s="8" t="n">
        <f aca="false">IFERROR(F20/E20,0)</f>
        <v>28.7967032967033</v>
      </c>
      <c r="H20" s="6" t="n">
        <f aca="false">INDEX(Inputs!$C$5:$C$7,MATCH(C20,Inputs!$A$5:$A$7,0))</f>
        <v>12</v>
      </c>
      <c r="I20" s="6" t="n">
        <f aca="false">MAX(0,ROUND(H20*E20-F20,0))</f>
        <v>0</v>
      </c>
      <c r="J20" s="6" t="n">
        <f aca="false">INDEX(Inputs!$C$26:$C$31,MATCH(A20,Inputs!$A$26:$A$31,0))</f>
        <v>8700</v>
      </c>
      <c r="K20" s="6" t="n">
        <f aca="false">SUMIF($A$5:$A$34,A20,$I$5:$I$34)</f>
        <v>7880</v>
      </c>
      <c r="L20" s="14" t="str">
        <f aca="false">IF(K20&gt;J20,"Yes","No")</f>
        <v>No</v>
      </c>
      <c r="M20" s="6" t="n">
        <f aca="false">IF(AND(L20="Yes",D20="Y"),MIN(I20,Inputs!$B$11*E20),0)</f>
        <v>0</v>
      </c>
      <c r="N20" s="6" t="n">
        <f aca="false">SUMIF($A$5:$A$34,A20,$M$5:$M$34)</f>
        <v>0</v>
      </c>
      <c r="O20" s="8" t="n">
        <f aca="false">IF(N20&gt;J20,M20*J20/N20,M20)</f>
        <v>0</v>
      </c>
      <c r="P20" s="6" t="n">
        <f aca="false">I20-O20</f>
        <v>0</v>
      </c>
      <c r="Q20" s="6" t="n">
        <f aca="false">MAX(0,J20-MIN(N20,J20))</f>
        <v>8700</v>
      </c>
      <c r="R20" s="17" t="n">
        <f aca="false">IF(P20&gt;0,P20/E20,0)</f>
        <v>0</v>
      </c>
      <c r="S20" s="6" t="n">
        <f aca="false">SUMPRODUCT(($A$5:$A$34=A20)*(($P$5:$P$34&lt;R20*$E$5:$E$34)*$P$5:$P$34+($P$5:$P$34&gt;=R20*$E$5:$E$34)*R20*$E$5:$E$34))</f>
        <v>0</v>
      </c>
      <c r="T20" s="17" t="n">
        <f aca="false">IF(AND(P20&gt;0,S20&lt;=Q20),R20,0)</f>
        <v>0</v>
      </c>
      <c r="U20" s="6" t="n">
        <f aca="false">IF(L20="No",I20,ROUNDDOWN(O20+AI20,0))</f>
        <v>0</v>
      </c>
      <c r="V20" s="8" t="n">
        <f aca="false">IFERROR((F20+U20)/E20,0)</f>
        <v>28.7967032967033</v>
      </c>
      <c r="W20" s="6" t="n">
        <f aca="false">INDEX(Inputs!$B$5:$B$7,MATCH(C20,Inputs!$A$5:$A$7,0))</f>
        <v>7</v>
      </c>
      <c r="X20" s="6" t="n">
        <f aca="false">INDEX(Inputs!$D$5:$D$7,MATCH(C20,Inputs!$A$5:$A$7,0))</f>
        <v>18</v>
      </c>
      <c r="Y20" s="14" t="str">
        <f aca="false">IF(V20&lt;W20,"Below band",IF(V20&gt;X20,"Above band","Within band"))</f>
        <v>Above band</v>
      </c>
      <c r="Z20" s="14" t="str">
        <f aca="false">IF(G20&lt;W20,"Below band",IF(G20&gt;X20,"Above band","Within band"))</f>
        <v>Above band</v>
      </c>
      <c r="AA20" s="6" t="n">
        <f aca="false">MAX(0,ROUNDDOWN((V20-X20)*E20,0))</f>
        <v>1965</v>
      </c>
      <c r="AB20" s="6" t="n">
        <f aca="false">MAX(0,ROUNDUP((W20-V20)*E20,0))</f>
        <v>0</v>
      </c>
      <c r="AC20" s="14" t="str">
        <f aca="false">A20&amp;"|"&amp;AA20</f>
        <v>Stout 60cl bottle|1965</v>
      </c>
      <c r="AD20" s="14" t="str">
        <f aca="false">A20&amp;"|"&amp;AB20</f>
        <v>Stout 60cl bottle|0</v>
      </c>
      <c r="AE20" s="17" t="n">
        <f aca="false">_xlfn.MAXIFS($T$5:$T$34,$A$5:$A$34,A20)</f>
        <v>8.97333333333333</v>
      </c>
      <c r="AF20" s="8" t="n">
        <f aca="false">SUMPRODUCT(($A$5:$A$34=A20)*(($P$5:$P$34&lt;AE20*$E$5:$E$34)*$P$5:$P$34+($P$5:$P$34&gt;=AE20*$E$5:$E$34)*AE20*$E$5:$E$34))</f>
        <v>7880</v>
      </c>
      <c r="AG20" s="6" t="n">
        <f aca="false">SUMIFS($E$5:$E$34,$A$5:$A$34,A20,$R$5:$R$34,"&gt;"&amp;AE20)</f>
        <v>0</v>
      </c>
      <c r="AH20" s="17" t="n">
        <f aca="false">IF(AG20=0,AE20,AE20+(Q20-AF20)/AG20)</f>
        <v>8.97333333333333</v>
      </c>
      <c r="AI20" s="8" t="n">
        <f aca="false">MIN(P20,AH20*E20)</f>
        <v>0</v>
      </c>
    </row>
    <row r="21" customFormat="false" ht="15" hidden="false" customHeight="false" outlineLevel="0" collapsed="false">
      <c r="A21" s="14" t="str">
        <f aca="false">Stock!A21</f>
        <v>Stout 60cl bottle</v>
      </c>
      <c r="B21" s="14" t="str">
        <f aca="false">Stock!B21</f>
        <v>Depot Central</v>
      </c>
      <c r="C21" s="14" t="str">
        <f aca="false">INDEX(Inputs!$B$26:$B$31,MATCH(A21,Inputs!$A$26:$A$31,0))</f>
        <v>Medium</v>
      </c>
      <c r="D21" s="14" t="str">
        <f aca="false">INDEX(Inputs!$B$17:$B$21,MATCH(B21,Inputs!$A$17:$A$21,0))</f>
        <v>Y</v>
      </c>
      <c r="E21" s="6" t="n">
        <f aca="false">Stock!C21</f>
        <v>222</v>
      </c>
      <c r="F21" s="6" t="n">
        <f aca="false">Stock!D21+Stock!E21</f>
        <v>999</v>
      </c>
      <c r="G21" s="8" t="n">
        <f aca="false">IFERROR(F21/E21,0)</f>
        <v>4.5</v>
      </c>
      <c r="H21" s="6" t="n">
        <f aca="false">INDEX(Inputs!$C$5:$C$7,MATCH(C21,Inputs!$A$5:$A$7,0))</f>
        <v>12</v>
      </c>
      <c r="I21" s="6" t="n">
        <f aca="false">MAX(0,ROUND(H21*E21-F21,0))</f>
        <v>1665</v>
      </c>
      <c r="J21" s="6" t="n">
        <f aca="false">INDEX(Inputs!$C$26:$C$31,MATCH(A21,Inputs!$A$26:$A$31,0))</f>
        <v>8700</v>
      </c>
      <c r="K21" s="6" t="n">
        <f aca="false">SUMIF($A$5:$A$34,A21,$I$5:$I$34)</f>
        <v>7880</v>
      </c>
      <c r="L21" s="14" t="str">
        <f aca="false">IF(K21&gt;J21,"Yes","No")</f>
        <v>No</v>
      </c>
      <c r="M21" s="6" t="n">
        <f aca="false">IF(AND(L21="Yes",D21="Y"),MIN(I21,Inputs!$B$11*E21),0)</f>
        <v>0</v>
      </c>
      <c r="N21" s="6" t="n">
        <f aca="false">SUMIF($A$5:$A$34,A21,$M$5:$M$34)</f>
        <v>0</v>
      </c>
      <c r="O21" s="8" t="n">
        <f aca="false">IF(N21&gt;J21,M21*J21/N21,M21)</f>
        <v>0</v>
      </c>
      <c r="P21" s="6" t="n">
        <f aca="false">I21-O21</f>
        <v>1665</v>
      </c>
      <c r="Q21" s="6" t="n">
        <f aca="false">MAX(0,J21-MIN(N21,J21))</f>
        <v>8700</v>
      </c>
      <c r="R21" s="17" t="n">
        <f aca="false">IF(P21&gt;0,P21/E21,0)</f>
        <v>7.5</v>
      </c>
      <c r="S21" s="6" t="n">
        <f aca="false">SUMPRODUCT(($A$5:$A$34=A21)*(($P$5:$P$34&lt;R21*$E$5:$E$34)*$P$5:$P$34+($P$5:$P$34&gt;=R21*$E$5:$E$34)*R21*$E$5:$E$34))</f>
        <v>7498</v>
      </c>
      <c r="T21" s="17" t="n">
        <f aca="false">IF(AND(P21&gt;0,S21&lt;=Q21),R21,0)</f>
        <v>7.5</v>
      </c>
      <c r="U21" s="6" t="n">
        <f aca="false">IF(L21="No",I21,ROUNDDOWN(O21+AI21,0))</f>
        <v>1665</v>
      </c>
      <c r="V21" s="8" t="n">
        <f aca="false">IFERROR((F21+U21)/E21,0)</f>
        <v>12</v>
      </c>
      <c r="W21" s="6" t="n">
        <f aca="false">INDEX(Inputs!$B$5:$B$7,MATCH(C21,Inputs!$A$5:$A$7,0))</f>
        <v>7</v>
      </c>
      <c r="X21" s="6" t="n">
        <f aca="false">INDEX(Inputs!$D$5:$D$7,MATCH(C21,Inputs!$A$5:$A$7,0))</f>
        <v>18</v>
      </c>
      <c r="Y21" s="14" t="str">
        <f aca="false">IF(V21&lt;W21,"Below band",IF(V21&gt;X21,"Above band","Within band"))</f>
        <v>Within band</v>
      </c>
      <c r="Z21" s="14" t="str">
        <f aca="false">IF(G21&lt;W21,"Below band",IF(G21&gt;X21,"Above band","Within band"))</f>
        <v>Below band</v>
      </c>
      <c r="AA21" s="6" t="n">
        <f aca="false">MAX(0,ROUNDDOWN((V21-X21)*E21,0))</f>
        <v>0</v>
      </c>
      <c r="AB21" s="6" t="n">
        <f aca="false">MAX(0,ROUNDUP((W21-V21)*E21,0))</f>
        <v>0</v>
      </c>
      <c r="AC21" s="14" t="str">
        <f aca="false">A21&amp;"|"&amp;AA21</f>
        <v>Stout 60cl bottle|0</v>
      </c>
      <c r="AD21" s="14" t="str">
        <f aca="false">A21&amp;"|"&amp;AB21</f>
        <v>Stout 60cl bottle|0</v>
      </c>
      <c r="AE21" s="17" t="n">
        <f aca="false">_xlfn.MAXIFS($T$5:$T$34,$A$5:$A$34,A21)</f>
        <v>8.97333333333333</v>
      </c>
      <c r="AF21" s="8" t="n">
        <f aca="false">SUMPRODUCT(($A$5:$A$34=A21)*(($P$5:$P$34&lt;AE21*$E$5:$E$34)*$P$5:$P$34+($P$5:$P$34&gt;=AE21*$E$5:$E$34)*AE21*$E$5:$E$34))</f>
        <v>7880</v>
      </c>
      <c r="AG21" s="6" t="n">
        <f aca="false">SUMIFS($E$5:$E$34,$A$5:$A$34,A21,$R$5:$R$34,"&gt;"&amp;AE21)</f>
        <v>0</v>
      </c>
      <c r="AH21" s="17" t="n">
        <f aca="false">IF(AG21=0,AE21,AE21+(Q21-AF21)/AG21)</f>
        <v>8.97333333333333</v>
      </c>
      <c r="AI21" s="8" t="n">
        <f aca="false">MIN(P21,AH21*E21)</f>
        <v>1665</v>
      </c>
    </row>
    <row r="22" customFormat="false" ht="15" hidden="false" customHeight="false" outlineLevel="0" collapsed="false">
      <c r="A22" s="14" t="str">
        <f aca="false">Stock!A22</f>
        <v>Stout 60cl bottle</v>
      </c>
      <c r="B22" s="14" t="str">
        <f aca="false">Stock!B22</f>
        <v>Depot South-West</v>
      </c>
      <c r="C22" s="14" t="str">
        <f aca="false">INDEX(Inputs!$B$26:$B$31,MATCH(A22,Inputs!$A$26:$A$31,0))</f>
        <v>Medium</v>
      </c>
      <c r="D22" s="14" t="str">
        <f aca="false">INDEX(Inputs!$B$17:$B$21,MATCH(B22,Inputs!$A$17:$A$21,0))</f>
        <v>Y</v>
      </c>
      <c r="E22" s="6" t="n">
        <f aca="false">Stock!C22</f>
        <v>385</v>
      </c>
      <c r="F22" s="6" t="n">
        <f aca="false">Stock!D22+Stock!E22</f>
        <v>1757</v>
      </c>
      <c r="G22" s="8" t="n">
        <f aca="false">IFERROR(F22/E22,0)</f>
        <v>4.56363636363636</v>
      </c>
      <c r="H22" s="6" t="n">
        <f aca="false">INDEX(Inputs!$C$5:$C$7,MATCH(C22,Inputs!$A$5:$A$7,0))</f>
        <v>12</v>
      </c>
      <c r="I22" s="6" t="n">
        <f aca="false">MAX(0,ROUND(H22*E22-F22,0))</f>
        <v>2863</v>
      </c>
      <c r="J22" s="6" t="n">
        <f aca="false">INDEX(Inputs!$C$26:$C$31,MATCH(A22,Inputs!$A$26:$A$31,0))</f>
        <v>8700</v>
      </c>
      <c r="K22" s="6" t="n">
        <f aca="false">SUMIF($A$5:$A$34,A22,$I$5:$I$34)</f>
        <v>7880</v>
      </c>
      <c r="L22" s="14" t="str">
        <f aca="false">IF(K22&gt;J22,"Yes","No")</f>
        <v>No</v>
      </c>
      <c r="M22" s="6" t="n">
        <f aca="false">IF(AND(L22="Yes",D22="Y"),MIN(I22,Inputs!$B$11*E22),0)</f>
        <v>0</v>
      </c>
      <c r="N22" s="6" t="n">
        <f aca="false">SUMIF($A$5:$A$34,A22,$M$5:$M$34)</f>
        <v>0</v>
      </c>
      <c r="O22" s="8" t="n">
        <f aca="false">IF(N22&gt;J22,M22*J22/N22,M22)</f>
        <v>0</v>
      </c>
      <c r="P22" s="6" t="n">
        <f aca="false">I22-O22</f>
        <v>2863</v>
      </c>
      <c r="Q22" s="6" t="n">
        <f aca="false">MAX(0,J22-MIN(N22,J22))</f>
        <v>8700</v>
      </c>
      <c r="R22" s="17" t="n">
        <f aca="false">IF(P22&gt;0,P22/E22,0)</f>
        <v>7.43636363636364</v>
      </c>
      <c r="S22" s="6" t="n">
        <f aca="false">SUMPRODUCT(($A$5:$A$34=A22)*(($P$5:$P$34&lt;R22*$E$5:$E$34)*$P$5:$P$34+($P$5:$P$34&gt;=R22*$E$5:$E$34)*R22*$E$5:$E$34))</f>
        <v>7458.67272727273</v>
      </c>
      <c r="T22" s="17" t="n">
        <f aca="false">IF(AND(P22&gt;0,S22&lt;=Q22),R22,0)</f>
        <v>7.43636363636364</v>
      </c>
      <c r="U22" s="6" t="n">
        <f aca="false">IF(L22="No",I22,ROUNDDOWN(O22+AI22,0))</f>
        <v>2863</v>
      </c>
      <c r="V22" s="8" t="n">
        <f aca="false">IFERROR((F22+U22)/E22,0)</f>
        <v>12</v>
      </c>
      <c r="W22" s="6" t="n">
        <f aca="false">INDEX(Inputs!$B$5:$B$7,MATCH(C22,Inputs!$A$5:$A$7,0))</f>
        <v>7</v>
      </c>
      <c r="X22" s="6" t="n">
        <f aca="false">INDEX(Inputs!$D$5:$D$7,MATCH(C22,Inputs!$A$5:$A$7,0))</f>
        <v>18</v>
      </c>
      <c r="Y22" s="14" t="str">
        <f aca="false">IF(V22&lt;W22,"Below band",IF(V22&gt;X22,"Above band","Within band"))</f>
        <v>Within band</v>
      </c>
      <c r="Z22" s="14" t="str">
        <f aca="false">IF(G22&lt;W22,"Below band",IF(G22&gt;X22,"Above band","Within band"))</f>
        <v>Below band</v>
      </c>
      <c r="AA22" s="6" t="n">
        <f aca="false">MAX(0,ROUNDDOWN((V22-X22)*E22,0))</f>
        <v>0</v>
      </c>
      <c r="AB22" s="6" t="n">
        <f aca="false">MAX(0,ROUNDUP((W22-V22)*E22,0))</f>
        <v>0</v>
      </c>
      <c r="AC22" s="14" t="str">
        <f aca="false">A22&amp;"|"&amp;AA22</f>
        <v>Stout 60cl bottle|0</v>
      </c>
      <c r="AD22" s="14" t="str">
        <f aca="false">A22&amp;"|"&amp;AB22</f>
        <v>Stout 60cl bottle|0</v>
      </c>
      <c r="AE22" s="17" t="n">
        <f aca="false">_xlfn.MAXIFS($T$5:$T$34,$A$5:$A$34,A22)</f>
        <v>8.97333333333333</v>
      </c>
      <c r="AF22" s="8" t="n">
        <f aca="false">SUMPRODUCT(($A$5:$A$34=A22)*(($P$5:$P$34&lt;AE22*$E$5:$E$34)*$P$5:$P$34+($P$5:$P$34&gt;=AE22*$E$5:$E$34)*AE22*$E$5:$E$34))</f>
        <v>7880</v>
      </c>
      <c r="AG22" s="6" t="n">
        <f aca="false">SUMIFS($E$5:$E$34,$A$5:$A$34,A22,$R$5:$R$34,"&gt;"&amp;AE22)</f>
        <v>0</v>
      </c>
      <c r="AH22" s="17" t="n">
        <f aca="false">IF(AG22=0,AE22,AE22+(Q22-AF22)/AG22)</f>
        <v>8.97333333333333</v>
      </c>
      <c r="AI22" s="8" t="n">
        <f aca="false">MIN(P22,AH22*E22)</f>
        <v>2863</v>
      </c>
    </row>
    <row r="23" customFormat="false" ht="15" hidden="false" customHeight="false" outlineLevel="0" collapsed="false">
      <c r="A23" s="14" t="str">
        <f aca="false">Stock!A23</f>
        <v>Stout 60cl bottle</v>
      </c>
      <c r="B23" s="14" t="str">
        <f aca="false">Stock!B23</f>
        <v>Depot South-East</v>
      </c>
      <c r="C23" s="14" t="str">
        <f aca="false">INDEX(Inputs!$B$26:$B$31,MATCH(A23,Inputs!$A$26:$A$31,0))</f>
        <v>Medium</v>
      </c>
      <c r="D23" s="14" t="str">
        <f aca="false">INDEX(Inputs!$B$17:$B$21,MATCH(B23,Inputs!$A$17:$A$21,0))</f>
        <v>N</v>
      </c>
      <c r="E23" s="6" t="n">
        <f aca="false">Stock!C23</f>
        <v>225</v>
      </c>
      <c r="F23" s="6" t="n">
        <f aca="false">Stock!D23+Stock!E23</f>
        <v>681</v>
      </c>
      <c r="G23" s="8" t="n">
        <f aca="false">IFERROR(F23/E23,0)</f>
        <v>3.02666666666667</v>
      </c>
      <c r="H23" s="6" t="n">
        <f aca="false">INDEX(Inputs!$C$5:$C$7,MATCH(C23,Inputs!$A$5:$A$7,0))</f>
        <v>12</v>
      </c>
      <c r="I23" s="6" t="n">
        <f aca="false">MAX(0,ROUND(H23*E23-F23,0))</f>
        <v>2019</v>
      </c>
      <c r="J23" s="6" t="n">
        <f aca="false">INDEX(Inputs!$C$26:$C$31,MATCH(A23,Inputs!$A$26:$A$31,0))</f>
        <v>8700</v>
      </c>
      <c r="K23" s="6" t="n">
        <f aca="false">SUMIF($A$5:$A$34,A23,$I$5:$I$34)</f>
        <v>7880</v>
      </c>
      <c r="L23" s="14" t="str">
        <f aca="false">IF(K23&gt;J23,"Yes","No")</f>
        <v>No</v>
      </c>
      <c r="M23" s="6" t="n">
        <f aca="false">IF(AND(L23="Yes",D23="Y"),MIN(I23,Inputs!$B$11*E23),0)</f>
        <v>0</v>
      </c>
      <c r="N23" s="6" t="n">
        <f aca="false">SUMIF($A$5:$A$34,A23,$M$5:$M$34)</f>
        <v>0</v>
      </c>
      <c r="O23" s="8" t="n">
        <f aca="false">IF(N23&gt;J23,M23*J23/N23,M23)</f>
        <v>0</v>
      </c>
      <c r="P23" s="6" t="n">
        <f aca="false">I23-O23</f>
        <v>2019</v>
      </c>
      <c r="Q23" s="6" t="n">
        <f aca="false">MAX(0,J23-MIN(N23,J23))</f>
        <v>8700</v>
      </c>
      <c r="R23" s="17" t="n">
        <f aca="false">IF(P23&gt;0,P23/E23,0)</f>
        <v>8.97333333333333</v>
      </c>
      <c r="S23" s="6" t="n">
        <f aca="false">SUMPRODUCT(($A$5:$A$34=A23)*(($P$5:$P$34&lt;R23*$E$5:$E$34)*$P$5:$P$34+($P$5:$P$34&gt;=R23*$E$5:$E$34)*R23*$E$5:$E$34))</f>
        <v>7880</v>
      </c>
      <c r="T23" s="17" t="n">
        <f aca="false">IF(AND(P23&gt;0,S23&lt;=Q23),R23,0)</f>
        <v>8.97333333333333</v>
      </c>
      <c r="U23" s="6" t="n">
        <f aca="false">IF(L23="No",I23,ROUNDDOWN(O23+AI23,0))</f>
        <v>2019</v>
      </c>
      <c r="V23" s="8" t="n">
        <f aca="false">IFERROR((F23+U23)/E23,0)</f>
        <v>12</v>
      </c>
      <c r="W23" s="6" t="n">
        <f aca="false">INDEX(Inputs!$B$5:$B$7,MATCH(C23,Inputs!$A$5:$A$7,0))</f>
        <v>7</v>
      </c>
      <c r="X23" s="6" t="n">
        <f aca="false">INDEX(Inputs!$D$5:$D$7,MATCH(C23,Inputs!$A$5:$A$7,0))</f>
        <v>18</v>
      </c>
      <c r="Y23" s="14" t="str">
        <f aca="false">IF(V23&lt;W23,"Below band",IF(V23&gt;X23,"Above band","Within band"))</f>
        <v>Within band</v>
      </c>
      <c r="Z23" s="14" t="str">
        <f aca="false">IF(G23&lt;W23,"Below band",IF(G23&gt;X23,"Above band","Within band"))</f>
        <v>Below band</v>
      </c>
      <c r="AA23" s="6" t="n">
        <f aca="false">MAX(0,ROUNDDOWN((V23-X23)*E23,0))</f>
        <v>0</v>
      </c>
      <c r="AB23" s="6" t="n">
        <f aca="false">MAX(0,ROUNDUP((W23-V23)*E23,0))</f>
        <v>0</v>
      </c>
      <c r="AC23" s="14" t="str">
        <f aca="false">A23&amp;"|"&amp;AA23</f>
        <v>Stout 60cl bottle|0</v>
      </c>
      <c r="AD23" s="14" t="str">
        <f aca="false">A23&amp;"|"&amp;AB23</f>
        <v>Stout 60cl bottle|0</v>
      </c>
      <c r="AE23" s="17" t="n">
        <f aca="false">_xlfn.MAXIFS($T$5:$T$34,$A$5:$A$34,A23)</f>
        <v>8.97333333333333</v>
      </c>
      <c r="AF23" s="8" t="n">
        <f aca="false">SUMPRODUCT(($A$5:$A$34=A23)*(($P$5:$P$34&lt;AE23*$E$5:$E$34)*$P$5:$P$34+($P$5:$P$34&gt;=AE23*$E$5:$E$34)*AE23*$E$5:$E$34))</f>
        <v>7880</v>
      </c>
      <c r="AG23" s="6" t="n">
        <f aca="false">SUMIFS($E$5:$E$34,$A$5:$A$34,A23,$R$5:$R$34,"&gt;"&amp;AE23)</f>
        <v>0</v>
      </c>
      <c r="AH23" s="17" t="n">
        <f aca="false">IF(AG23=0,AE23,AE23+(Q23-AF23)/AG23)</f>
        <v>8.97333333333333</v>
      </c>
      <c r="AI23" s="8" t="n">
        <f aca="false">MIN(P23,AH23*E23)</f>
        <v>2019</v>
      </c>
    </row>
    <row r="24" customFormat="false" ht="15" hidden="false" customHeight="false" outlineLevel="0" collapsed="false">
      <c r="A24" s="14" t="str">
        <f aca="false">Stock!A24</f>
        <v>Stout 60cl bottle</v>
      </c>
      <c r="B24" s="14" t="str">
        <f aca="false">Stock!B24</f>
        <v>Depot Coastal</v>
      </c>
      <c r="C24" s="14" t="str">
        <f aca="false">INDEX(Inputs!$B$26:$B$31,MATCH(A24,Inputs!$A$26:$A$31,0))</f>
        <v>Medium</v>
      </c>
      <c r="D24" s="14" t="str">
        <f aca="false">INDEX(Inputs!$B$17:$B$21,MATCH(B24,Inputs!$A$17:$A$21,0))</f>
        <v>N</v>
      </c>
      <c r="E24" s="6" t="n">
        <f aca="false">Stock!C24</f>
        <v>171</v>
      </c>
      <c r="F24" s="6" t="n">
        <f aca="false">Stock!D24+Stock!E24</f>
        <v>719</v>
      </c>
      <c r="G24" s="8" t="n">
        <f aca="false">IFERROR(F24/E24,0)</f>
        <v>4.2046783625731</v>
      </c>
      <c r="H24" s="6" t="n">
        <f aca="false">INDEX(Inputs!$C$5:$C$7,MATCH(C24,Inputs!$A$5:$A$7,0))</f>
        <v>12</v>
      </c>
      <c r="I24" s="6" t="n">
        <f aca="false">MAX(0,ROUND(H24*E24-F24,0))</f>
        <v>1333</v>
      </c>
      <c r="J24" s="6" t="n">
        <f aca="false">INDEX(Inputs!$C$26:$C$31,MATCH(A24,Inputs!$A$26:$A$31,0))</f>
        <v>8700</v>
      </c>
      <c r="K24" s="6" t="n">
        <f aca="false">SUMIF($A$5:$A$34,A24,$I$5:$I$34)</f>
        <v>7880</v>
      </c>
      <c r="L24" s="14" t="str">
        <f aca="false">IF(K24&gt;J24,"Yes","No")</f>
        <v>No</v>
      </c>
      <c r="M24" s="6" t="n">
        <f aca="false">IF(AND(L24="Yes",D24="Y"),MIN(I24,Inputs!$B$11*E24),0)</f>
        <v>0</v>
      </c>
      <c r="N24" s="6" t="n">
        <f aca="false">SUMIF($A$5:$A$34,A24,$M$5:$M$34)</f>
        <v>0</v>
      </c>
      <c r="O24" s="8" t="n">
        <f aca="false">IF(N24&gt;J24,M24*J24/N24,M24)</f>
        <v>0</v>
      </c>
      <c r="P24" s="6" t="n">
        <f aca="false">I24-O24</f>
        <v>1333</v>
      </c>
      <c r="Q24" s="6" t="n">
        <f aca="false">MAX(0,J24-MIN(N24,J24))</f>
        <v>8700</v>
      </c>
      <c r="R24" s="17" t="n">
        <f aca="false">IF(P24&gt;0,P24/E24,0)</f>
        <v>7.7953216374269</v>
      </c>
      <c r="S24" s="6" t="n">
        <f aca="false">SUMPRODUCT(($A$5:$A$34=A24)*(($P$5:$P$34&lt;R24*$E$5:$E$34)*$P$5:$P$34+($P$5:$P$34&gt;=R24*$E$5:$E$34)*R24*$E$5:$E$34))</f>
        <v>7614.94736842105</v>
      </c>
      <c r="T24" s="17" t="n">
        <f aca="false">IF(AND(P24&gt;0,S24&lt;=Q24),R24,0)</f>
        <v>7.7953216374269</v>
      </c>
      <c r="U24" s="6" t="n">
        <f aca="false">IF(L24="No",I24,ROUNDDOWN(O24+AI24,0))</f>
        <v>1333</v>
      </c>
      <c r="V24" s="8" t="n">
        <f aca="false">IFERROR((F24+U24)/E24,0)</f>
        <v>12</v>
      </c>
      <c r="W24" s="6" t="n">
        <f aca="false">INDEX(Inputs!$B$5:$B$7,MATCH(C24,Inputs!$A$5:$A$7,0))</f>
        <v>7</v>
      </c>
      <c r="X24" s="6" t="n">
        <f aca="false">INDEX(Inputs!$D$5:$D$7,MATCH(C24,Inputs!$A$5:$A$7,0))</f>
        <v>18</v>
      </c>
      <c r="Y24" s="14" t="str">
        <f aca="false">IF(V24&lt;W24,"Below band",IF(V24&gt;X24,"Above band","Within band"))</f>
        <v>Within band</v>
      </c>
      <c r="Z24" s="14" t="str">
        <f aca="false">IF(G24&lt;W24,"Below band",IF(G24&gt;X24,"Above band","Within band"))</f>
        <v>Below band</v>
      </c>
      <c r="AA24" s="6" t="n">
        <f aca="false">MAX(0,ROUNDDOWN((V24-X24)*E24,0))</f>
        <v>0</v>
      </c>
      <c r="AB24" s="6" t="n">
        <f aca="false">MAX(0,ROUNDUP((W24-V24)*E24,0))</f>
        <v>0</v>
      </c>
      <c r="AC24" s="14" t="str">
        <f aca="false">A24&amp;"|"&amp;AA24</f>
        <v>Stout 60cl bottle|0</v>
      </c>
      <c r="AD24" s="14" t="str">
        <f aca="false">A24&amp;"|"&amp;AB24</f>
        <v>Stout 60cl bottle|0</v>
      </c>
      <c r="AE24" s="17" t="n">
        <f aca="false">_xlfn.MAXIFS($T$5:$T$34,$A$5:$A$34,A24)</f>
        <v>8.97333333333333</v>
      </c>
      <c r="AF24" s="8" t="n">
        <f aca="false">SUMPRODUCT(($A$5:$A$34=A24)*(($P$5:$P$34&lt;AE24*$E$5:$E$34)*$P$5:$P$34+($P$5:$P$34&gt;=AE24*$E$5:$E$34)*AE24*$E$5:$E$34))</f>
        <v>7880</v>
      </c>
      <c r="AG24" s="6" t="n">
        <f aca="false">SUMIFS($E$5:$E$34,$A$5:$A$34,A24,$R$5:$R$34,"&gt;"&amp;AE24)</f>
        <v>0</v>
      </c>
      <c r="AH24" s="17" t="n">
        <f aca="false">IF(AG24=0,AE24,AE24+(Q24-AF24)/AG24)</f>
        <v>8.97333333333333</v>
      </c>
      <c r="AI24" s="8" t="n">
        <f aca="false">MIN(P24,AH24*E24)</f>
        <v>1333</v>
      </c>
    </row>
    <row r="25" customFormat="false" ht="15" hidden="false" customHeight="false" outlineLevel="0" collapsed="false">
      <c r="A25" s="14" t="str">
        <f aca="false">Stock!A25</f>
        <v>Premium lager 33cl bottle</v>
      </c>
      <c r="B25" s="14" t="str">
        <f aca="false">Stock!B25</f>
        <v>Depot North</v>
      </c>
      <c r="C25" s="14" t="str">
        <f aca="false">INDEX(Inputs!$B$26:$B$31,MATCH(A25,Inputs!$A$26:$A$31,0))</f>
        <v>Slow</v>
      </c>
      <c r="D25" s="14" t="str">
        <f aca="false">INDEX(Inputs!$B$17:$B$21,MATCH(B25,Inputs!$A$17:$A$21,0))</f>
        <v>N</v>
      </c>
      <c r="E25" s="6" t="n">
        <f aca="false">Stock!C25</f>
        <v>78</v>
      </c>
      <c r="F25" s="6" t="n">
        <f aca="false">Stock!D25+Stock!E25</f>
        <v>1155</v>
      </c>
      <c r="G25" s="8" t="n">
        <f aca="false">IFERROR(F25/E25,0)</f>
        <v>14.8076923076923</v>
      </c>
      <c r="H25" s="6" t="n">
        <f aca="false">INDEX(Inputs!$C$5:$C$7,MATCH(C25,Inputs!$A$5:$A$7,0))</f>
        <v>18</v>
      </c>
      <c r="I25" s="6" t="n">
        <f aca="false">MAX(0,ROUND(H25*E25-F25,0))</f>
        <v>249</v>
      </c>
      <c r="J25" s="6" t="n">
        <f aca="false">INDEX(Inputs!$C$26:$C$31,MATCH(A25,Inputs!$A$26:$A$31,0))</f>
        <v>2000</v>
      </c>
      <c r="K25" s="6" t="n">
        <f aca="false">SUMIF($A$5:$A$34,A25,$I$5:$I$34)</f>
        <v>2204</v>
      </c>
      <c r="L25" s="14" t="str">
        <f aca="false">IF(K25&gt;J25,"Yes","No")</f>
        <v>Yes</v>
      </c>
      <c r="M25" s="6" t="n">
        <f aca="false">IF(AND(L25="Yes",D25="Y"),MIN(I25,Inputs!$B$11*E25),0)</f>
        <v>0</v>
      </c>
      <c r="N25" s="6" t="n">
        <f aca="false">SUMIF($A$5:$A$34,A25,$M$5:$M$34)</f>
        <v>885</v>
      </c>
      <c r="O25" s="8" t="n">
        <f aca="false">IF(N25&gt;J25,M25*J25/N25,M25)</f>
        <v>0</v>
      </c>
      <c r="P25" s="6" t="n">
        <f aca="false">I25-O25</f>
        <v>249</v>
      </c>
      <c r="Q25" s="6" t="n">
        <f aca="false">MAX(0,J25-MIN(N25,J25))</f>
        <v>1115</v>
      </c>
      <c r="R25" s="17" t="n">
        <f aca="false">IF(P25&gt;0,P25/E25,0)</f>
        <v>3.19230769230769</v>
      </c>
      <c r="S25" s="6" t="n">
        <f aca="false">SUMPRODUCT(($A$5:$A$34=A25)*(($P$5:$P$34&lt;R25*$E$5:$E$34)*$P$5:$P$34+($P$5:$P$34&gt;=R25*$E$5:$E$34)*R25*$E$5:$E$34))</f>
        <v>941.269230769231</v>
      </c>
      <c r="T25" s="17" t="n">
        <f aca="false">IF(AND(P25&gt;0,S25&lt;=Q25),R25,0)</f>
        <v>3.19230769230769</v>
      </c>
      <c r="U25" s="6" t="n">
        <f aca="false">IF(L25="No",I25,ROUNDDOWN(O25+AI25,0))</f>
        <v>249</v>
      </c>
      <c r="V25" s="8" t="n">
        <f aca="false">IFERROR((F25+U25)/E25,0)</f>
        <v>18</v>
      </c>
      <c r="W25" s="6" t="n">
        <f aca="false">INDEX(Inputs!$B$5:$B$7,MATCH(C25,Inputs!$A$5:$A$7,0))</f>
        <v>10</v>
      </c>
      <c r="X25" s="6" t="n">
        <f aca="false">INDEX(Inputs!$D$5:$D$7,MATCH(C25,Inputs!$A$5:$A$7,0))</f>
        <v>28</v>
      </c>
      <c r="Y25" s="14" t="str">
        <f aca="false">IF(V25&lt;W25,"Below band",IF(V25&gt;X25,"Above band","Within band"))</f>
        <v>Within band</v>
      </c>
      <c r="Z25" s="14" t="str">
        <f aca="false">IF(G25&lt;W25,"Below band",IF(G25&gt;X25,"Above band","Within band"))</f>
        <v>Within band</v>
      </c>
      <c r="AA25" s="6" t="n">
        <f aca="false">MAX(0,ROUNDDOWN((V25-X25)*E25,0))</f>
        <v>0</v>
      </c>
      <c r="AB25" s="6" t="n">
        <f aca="false">MAX(0,ROUNDUP((W25-V25)*E25,0))</f>
        <v>0</v>
      </c>
      <c r="AC25" s="14" t="str">
        <f aca="false">A25&amp;"|"&amp;AA25</f>
        <v>Premium lager 33cl bottle|0</v>
      </c>
      <c r="AD25" s="14" t="str">
        <f aca="false">A25&amp;"|"&amp;AB25</f>
        <v>Premium lager 33cl bottle|0</v>
      </c>
      <c r="AE25" s="17" t="n">
        <f aca="false">_xlfn.MAXIFS($T$5:$T$34,$A$5:$A$34,A25)</f>
        <v>3.19230769230769</v>
      </c>
      <c r="AF25" s="8" t="n">
        <f aca="false">SUMPRODUCT(($A$5:$A$34=A25)*(($P$5:$P$34&lt;AE25*$E$5:$E$34)*$P$5:$P$34+($P$5:$P$34&gt;=AE25*$E$5:$E$34)*AE25*$E$5:$E$34))</f>
        <v>941.269230769231</v>
      </c>
      <c r="AG25" s="6" t="n">
        <f aca="false">SUMIFS($E$5:$E$34,$A$5:$A$34,A25,$R$5:$R$34,"&gt;"&amp;AE25)</f>
        <v>95</v>
      </c>
      <c r="AH25" s="17" t="n">
        <f aca="false">IF(AG25=0,AE25,AE25+(Q25-AF25)/AG25)</f>
        <v>5.02105263157895</v>
      </c>
      <c r="AI25" s="8" t="n">
        <f aca="false">MIN(P25,AH25*E25)</f>
        <v>249</v>
      </c>
    </row>
    <row r="26" customFormat="false" ht="15" hidden="false" customHeight="false" outlineLevel="0" collapsed="false">
      <c r="A26" s="14" t="str">
        <f aca="false">Stock!A26</f>
        <v>Premium lager 33cl bottle</v>
      </c>
      <c r="B26" s="14" t="str">
        <f aca="false">Stock!B26</f>
        <v>Depot Central</v>
      </c>
      <c r="C26" s="14" t="str">
        <f aca="false">INDEX(Inputs!$B$26:$B$31,MATCH(A26,Inputs!$A$26:$A$31,0))</f>
        <v>Slow</v>
      </c>
      <c r="D26" s="14" t="str">
        <f aca="false">INDEX(Inputs!$B$17:$B$21,MATCH(B26,Inputs!$A$17:$A$21,0))</f>
        <v>Y</v>
      </c>
      <c r="E26" s="6" t="n">
        <f aca="false">Stock!C26</f>
        <v>120</v>
      </c>
      <c r="F26" s="6" t="n">
        <f aca="false">Stock!D26+Stock!E26</f>
        <v>1729</v>
      </c>
      <c r="G26" s="8" t="n">
        <f aca="false">IFERROR(F26/E26,0)</f>
        <v>14.4083333333333</v>
      </c>
      <c r="H26" s="6" t="n">
        <f aca="false">INDEX(Inputs!$C$5:$C$7,MATCH(C26,Inputs!$A$5:$A$7,0))</f>
        <v>18</v>
      </c>
      <c r="I26" s="6" t="n">
        <f aca="false">MAX(0,ROUND(H26*E26-F26,0))</f>
        <v>431</v>
      </c>
      <c r="J26" s="6" t="n">
        <f aca="false">INDEX(Inputs!$C$26:$C$31,MATCH(A26,Inputs!$A$26:$A$31,0))</f>
        <v>2000</v>
      </c>
      <c r="K26" s="6" t="n">
        <f aca="false">SUMIF($A$5:$A$34,A26,$I$5:$I$34)</f>
        <v>2204</v>
      </c>
      <c r="L26" s="14" t="str">
        <f aca="false">IF(K26&gt;J26,"Yes","No")</f>
        <v>Yes</v>
      </c>
      <c r="M26" s="6" t="n">
        <f aca="false">IF(AND(L26="Yes",D26="Y"),MIN(I26,Inputs!$B$11*E26),0)</f>
        <v>360</v>
      </c>
      <c r="N26" s="6" t="n">
        <f aca="false">SUMIF($A$5:$A$34,A26,$M$5:$M$34)</f>
        <v>885</v>
      </c>
      <c r="O26" s="8" t="n">
        <f aca="false">IF(N26&gt;J26,M26*J26/N26,M26)</f>
        <v>360</v>
      </c>
      <c r="P26" s="6" t="n">
        <f aca="false">I26-O26</f>
        <v>71</v>
      </c>
      <c r="Q26" s="6" t="n">
        <f aca="false">MAX(0,J26-MIN(N26,J26))</f>
        <v>1115</v>
      </c>
      <c r="R26" s="17" t="n">
        <f aca="false">IF(P26&gt;0,P26/E26,0)</f>
        <v>0.591666666666667</v>
      </c>
      <c r="S26" s="6" t="n">
        <f aca="false">SUMPRODUCT(($A$5:$A$34=A26)*(($P$5:$P$34&lt;R26*$E$5:$E$34)*$P$5:$P$34+($P$5:$P$34&gt;=R26*$E$5:$E$34)*R26*$E$5:$E$34))</f>
        <v>276.9</v>
      </c>
      <c r="T26" s="17" t="n">
        <f aca="false">IF(AND(P26&gt;0,S26&lt;=Q26),R26,0)</f>
        <v>0.591666666666667</v>
      </c>
      <c r="U26" s="6" t="n">
        <f aca="false">IF(L26="No",I26,ROUNDDOWN(O26+AI26,0))</f>
        <v>431</v>
      </c>
      <c r="V26" s="8" t="n">
        <f aca="false">IFERROR((F26+U26)/E26,0)</f>
        <v>18</v>
      </c>
      <c r="W26" s="6" t="n">
        <f aca="false">INDEX(Inputs!$B$5:$B$7,MATCH(C26,Inputs!$A$5:$A$7,0))</f>
        <v>10</v>
      </c>
      <c r="X26" s="6" t="n">
        <f aca="false">INDEX(Inputs!$D$5:$D$7,MATCH(C26,Inputs!$A$5:$A$7,0))</f>
        <v>28</v>
      </c>
      <c r="Y26" s="14" t="str">
        <f aca="false">IF(V26&lt;W26,"Below band",IF(V26&gt;X26,"Above band","Within band"))</f>
        <v>Within band</v>
      </c>
      <c r="Z26" s="14" t="str">
        <f aca="false">IF(G26&lt;W26,"Below band",IF(G26&gt;X26,"Above band","Within band"))</f>
        <v>Within band</v>
      </c>
      <c r="AA26" s="6" t="n">
        <f aca="false">MAX(0,ROUNDDOWN((V26-X26)*E26,0))</f>
        <v>0</v>
      </c>
      <c r="AB26" s="6" t="n">
        <f aca="false">MAX(0,ROUNDUP((W26-V26)*E26,0))</f>
        <v>0</v>
      </c>
      <c r="AC26" s="14" t="str">
        <f aca="false">A26&amp;"|"&amp;AA26</f>
        <v>Premium lager 33cl bottle|0</v>
      </c>
      <c r="AD26" s="14" t="str">
        <f aca="false">A26&amp;"|"&amp;AB26</f>
        <v>Premium lager 33cl bottle|0</v>
      </c>
      <c r="AE26" s="17" t="n">
        <f aca="false">_xlfn.MAXIFS($T$5:$T$34,$A$5:$A$34,A26)</f>
        <v>3.19230769230769</v>
      </c>
      <c r="AF26" s="8" t="n">
        <f aca="false">SUMPRODUCT(($A$5:$A$34=A26)*(($P$5:$P$34&lt;AE26*$E$5:$E$34)*$P$5:$P$34+($P$5:$P$34&gt;=AE26*$E$5:$E$34)*AE26*$E$5:$E$34))</f>
        <v>941.269230769231</v>
      </c>
      <c r="AG26" s="6" t="n">
        <f aca="false">SUMIFS($E$5:$E$34,$A$5:$A$34,A26,$R$5:$R$34,"&gt;"&amp;AE26)</f>
        <v>95</v>
      </c>
      <c r="AH26" s="17" t="n">
        <f aca="false">IF(AG26=0,AE26,AE26+(Q26-AF26)/AG26)</f>
        <v>5.02105263157895</v>
      </c>
      <c r="AI26" s="8" t="n">
        <f aca="false">MIN(P26,AH26*E26)</f>
        <v>71</v>
      </c>
    </row>
    <row r="27" customFormat="false" ht="15" hidden="false" customHeight="false" outlineLevel="0" collapsed="false">
      <c r="A27" s="14" t="str">
        <f aca="false">Stock!A27</f>
        <v>Premium lager 33cl bottle</v>
      </c>
      <c r="B27" s="14" t="str">
        <f aca="false">Stock!B27</f>
        <v>Depot South-West</v>
      </c>
      <c r="C27" s="14" t="str">
        <f aca="false">INDEX(Inputs!$B$26:$B$31,MATCH(A27,Inputs!$A$26:$A$31,0))</f>
        <v>Slow</v>
      </c>
      <c r="D27" s="14" t="str">
        <f aca="false">INDEX(Inputs!$B$17:$B$21,MATCH(B27,Inputs!$A$17:$A$21,0))</f>
        <v>Y</v>
      </c>
      <c r="E27" s="6" t="n">
        <f aca="false">Stock!C27</f>
        <v>175</v>
      </c>
      <c r="F27" s="6" t="n">
        <f aca="false">Stock!D27+Stock!E27</f>
        <v>2307</v>
      </c>
      <c r="G27" s="8" t="n">
        <f aca="false">IFERROR(F27/E27,0)</f>
        <v>13.1828571428571</v>
      </c>
      <c r="H27" s="6" t="n">
        <f aca="false">INDEX(Inputs!$C$5:$C$7,MATCH(C27,Inputs!$A$5:$A$7,0))</f>
        <v>18</v>
      </c>
      <c r="I27" s="6" t="n">
        <f aca="false">MAX(0,ROUND(H27*E27-F27,0))</f>
        <v>843</v>
      </c>
      <c r="J27" s="6" t="n">
        <f aca="false">INDEX(Inputs!$C$26:$C$31,MATCH(A27,Inputs!$A$26:$A$31,0))</f>
        <v>2000</v>
      </c>
      <c r="K27" s="6" t="n">
        <f aca="false">SUMIF($A$5:$A$34,A27,$I$5:$I$34)</f>
        <v>2204</v>
      </c>
      <c r="L27" s="14" t="str">
        <f aca="false">IF(K27&gt;J27,"Yes","No")</f>
        <v>Yes</v>
      </c>
      <c r="M27" s="6" t="n">
        <f aca="false">IF(AND(L27="Yes",D27="Y"),MIN(I27,Inputs!$B$11*E27),0)</f>
        <v>525</v>
      </c>
      <c r="N27" s="6" t="n">
        <f aca="false">SUMIF($A$5:$A$34,A27,$M$5:$M$34)</f>
        <v>885</v>
      </c>
      <c r="O27" s="8" t="n">
        <f aca="false">IF(N27&gt;J27,M27*J27/N27,M27)</f>
        <v>525</v>
      </c>
      <c r="P27" s="6" t="n">
        <f aca="false">I27-O27</f>
        <v>318</v>
      </c>
      <c r="Q27" s="6" t="n">
        <f aca="false">MAX(0,J27-MIN(N27,J27))</f>
        <v>1115</v>
      </c>
      <c r="R27" s="17" t="n">
        <f aca="false">IF(P27&gt;0,P27/E27,0)</f>
        <v>1.81714285714286</v>
      </c>
      <c r="S27" s="6" t="n">
        <f aca="false">SUMPRODUCT(($A$5:$A$34=A27)*(($P$5:$P$34&lt;R27*$E$5:$E$34)*$P$5:$P$34+($P$5:$P$34&gt;=R27*$E$5:$E$34)*R27*$E$5:$E$34))</f>
        <v>703.365714285714</v>
      </c>
      <c r="T27" s="17" t="n">
        <f aca="false">IF(AND(P27&gt;0,S27&lt;=Q27),R27,0)</f>
        <v>1.81714285714286</v>
      </c>
      <c r="U27" s="6" t="n">
        <f aca="false">IF(L27="No",I27,ROUNDDOWN(O27+AI27,0))</f>
        <v>843</v>
      </c>
      <c r="V27" s="8" t="n">
        <f aca="false">IFERROR((F27+U27)/E27,0)</f>
        <v>18</v>
      </c>
      <c r="W27" s="6" t="n">
        <f aca="false">INDEX(Inputs!$B$5:$B$7,MATCH(C27,Inputs!$A$5:$A$7,0))</f>
        <v>10</v>
      </c>
      <c r="X27" s="6" t="n">
        <f aca="false">INDEX(Inputs!$D$5:$D$7,MATCH(C27,Inputs!$A$5:$A$7,0))</f>
        <v>28</v>
      </c>
      <c r="Y27" s="14" t="str">
        <f aca="false">IF(V27&lt;W27,"Below band",IF(V27&gt;X27,"Above band","Within band"))</f>
        <v>Within band</v>
      </c>
      <c r="Z27" s="14" t="str">
        <f aca="false">IF(G27&lt;W27,"Below band",IF(G27&gt;X27,"Above band","Within band"))</f>
        <v>Within band</v>
      </c>
      <c r="AA27" s="6" t="n">
        <f aca="false">MAX(0,ROUNDDOWN((V27-X27)*E27,0))</f>
        <v>0</v>
      </c>
      <c r="AB27" s="6" t="n">
        <f aca="false">MAX(0,ROUNDUP((W27-V27)*E27,0))</f>
        <v>0</v>
      </c>
      <c r="AC27" s="14" t="str">
        <f aca="false">A27&amp;"|"&amp;AA27</f>
        <v>Premium lager 33cl bottle|0</v>
      </c>
      <c r="AD27" s="14" t="str">
        <f aca="false">A27&amp;"|"&amp;AB27</f>
        <v>Premium lager 33cl bottle|0</v>
      </c>
      <c r="AE27" s="17" t="n">
        <f aca="false">_xlfn.MAXIFS($T$5:$T$34,$A$5:$A$34,A27)</f>
        <v>3.19230769230769</v>
      </c>
      <c r="AF27" s="8" t="n">
        <f aca="false">SUMPRODUCT(($A$5:$A$34=A27)*(($P$5:$P$34&lt;AE27*$E$5:$E$34)*$P$5:$P$34+($P$5:$P$34&gt;=AE27*$E$5:$E$34)*AE27*$E$5:$E$34))</f>
        <v>941.269230769231</v>
      </c>
      <c r="AG27" s="6" t="n">
        <f aca="false">SUMIFS($E$5:$E$34,$A$5:$A$34,A27,$R$5:$R$34,"&gt;"&amp;AE27)</f>
        <v>95</v>
      </c>
      <c r="AH27" s="17" t="n">
        <f aca="false">IF(AG27=0,AE27,AE27+(Q27-AF27)/AG27)</f>
        <v>5.02105263157895</v>
      </c>
      <c r="AI27" s="8" t="n">
        <f aca="false">MIN(P27,AH27*E27)</f>
        <v>318</v>
      </c>
    </row>
    <row r="28" customFormat="false" ht="15" hidden="false" customHeight="false" outlineLevel="0" collapsed="false">
      <c r="A28" s="14" t="str">
        <f aca="false">Stock!A28</f>
        <v>Premium lager 33cl bottle</v>
      </c>
      <c r="B28" s="14" t="str">
        <f aca="false">Stock!B28</f>
        <v>Depot South-East</v>
      </c>
      <c r="C28" s="14" t="str">
        <f aca="false">INDEX(Inputs!$B$26:$B$31,MATCH(A28,Inputs!$A$26:$A$31,0))</f>
        <v>Slow</v>
      </c>
      <c r="D28" s="14" t="str">
        <f aca="false">INDEX(Inputs!$B$17:$B$21,MATCH(B28,Inputs!$A$17:$A$21,0))</f>
        <v>N</v>
      </c>
      <c r="E28" s="6" t="n">
        <f aca="false">Stock!C28</f>
        <v>95</v>
      </c>
      <c r="F28" s="6" t="n">
        <f aca="false">Stock!D28+Stock!E28</f>
        <v>1029</v>
      </c>
      <c r="G28" s="8" t="n">
        <f aca="false">IFERROR(F28/E28,0)</f>
        <v>10.8315789473684</v>
      </c>
      <c r="H28" s="6" t="n">
        <f aca="false">INDEX(Inputs!$C$5:$C$7,MATCH(C28,Inputs!$A$5:$A$7,0))</f>
        <v>18</v>
      </c>
      <c r="I28" s="6" t="n">
        <f aca="false">MAX(0,ROUND(H28*E28-F28,0))</f>
        <v>681</v>
      </c>
      <c r="J28" s="6" t="n">
        <f aca="false">INDEX(Inputs!$C$26:$C$31,MATCH(A28,Inputs!$A$26:$A$31,0))</f>
        <v>2000</v>
      </c>
      <c r="K28" s="6" t="n">
        <f aca="false">SUMIF($A$5:$A$34,A28,$I$5:$I$34)</f>
        <v>2204</v>
      </c>
      <c r="L28" s="14" t="str">
        <f aca="false">IF(K28&gt;J28,"Yes","No")</f>
        <v>Yes</v>
      </c>
      <c r="M28" s="6" t="n">
        <f aca="false">IF(AND(L28="Yes",D28="Y"),MIN(I28,Inputs!$B$11*E28),0)</f>
        <v>0</v>
      </c>
      <c r="N28" s="6" t="n">
        <f aca="false">SUMIF($A$5:$A$34,A28,$M$5:$M$34)</f>
        <v>885</v>
      </c>
      <c r="O28" s="8" t="n">
        <f aca="false">IF(N28&gt;J28,M28*J28/N28,M28)</f>
        <v>0</v>
      </c>
      <c r="P28" s="6" t="n">
        <f aca="false">I28-O28</f>
        <v>681</v>
      </c>
      <c r="Q28" s="6" t="n">
        <f aca="false">MAX(0,J28-MIN(N28,J28))</f>
        <v>1115</v>
      </c>
      <c r="R28" s="17" t="n">
        <f aca="false">IF(P28&gt;0,P28/E28,0)</f>
        <v>7.16842105263158</v>
      </c>
      <c r="S28" s="6" t="n">
        <f aca="false">SUMPRODUCT(($A$5:$A$34=A28)*(($P$5:$P$34&lt;R28*$E$5:$E$34)*$P$5:$P$34+($P$5:$P$34&gt;=R28*$E$5:$E$34)*R28*$E$5:$E$34))</f>
        <v>1319</v>
      </c>
      <c r="T28" s="17" t="n">
        <f aca="false">IF(AND(P28&gt;0,S28&lt;=Q28),R28,0)</f>
        <v>0</v>
      </c>
      <c r="U28" s="6" t="n">
        <f aca="false">IF(L28="No",I28,ROUNDDOWN(O28+AI28,0))</f>
        <v>477</v>
      </c>
      <c r="V28" s="8" t="n">
        <f aca="false">IFERROR((F28+U28)/E28,0)</f>
        <v>15.8526315789474</v>
      </c>
      <c r="W28" s="6" t="n">
        <f aca="false">INDEX(Inputs!$B$5:$B$7,MATCH(C28,Inputs!$A$5:$A$7,0))</f>
        <v>10</v>
      </c>
      <c r="X28" s="6" t="n">
        <f aca="false">INDEX(Inputs!$D$5:$D$7,MATCH(C28,Inputs!$A$5:$A$7,0))</f>
        <v>28</v>
      </c>
      <c r="Y28" s="14" t="str">
        <f aca="false">IF(V28&lt;W28,"Below band",IF(V28&gt;X28,"Above band","Within band"))</f>
        <v>Within band</v>
      </c>
      <c r="Z28" s="14" t="str">
        <f aca="false">IF(G28&lt;W28,"Below band",IF(G28&gt;X28,"Above band","Within band"))</f>
        <v>Within band</v>
      </c>
      <c r="AA28" s="6" t="n">
        <f aca="false">MAX(0,ROUNDDOWN((V28-X28)*E28,0))</f>
        <v>0</v>
      </c>
      <c r="AB28" s="6" t="n">
        <f aca="false">MAX(0,ROUNDUP((W28-V28)*E28,0))</f>
        <v>0</v>
      </c>
      <c r="AC28" s="14" t="str">
        <f aca="false">A28&amp;"|"&amp;AA28</f>
        <v>Premium lager 33cl bottle|0</v>
      </c>
      <c r="AD28" s="14" t="str">
        <f aca="false">A28&amp;"|"&amp;AB28</f>
        <v>Premium lager 33cl bottle|0</v>
      </c>
      <c r="AE28" s="17" t="n">
        <f aca="false">_xlfn.MAXIFS($T$5:$T$34,$A$5:$A$34,A28)</f>
        <v>3.19230769230769</v>
      </c>
      <c r="AF28" s="8" t="n">
        <f aca="false">SUMPRODUCT(($A$5:$A$34=A28)*(($P$5:$P$34&lt;AE28*$E$5:$E$34)*$P$5:$P$34+($P$5:$P$34&gt;=AE28*$E$5:$E$34)*AE28*$E$5:$E$34))</f>
        <v>941.269230769231</v>
      </c>
      <c r="AG28" s="6" t="n">
        <f aca="false">SUMIFS($E$5:$E$34,$A$5:$A$34,A28,$R$5:$R$34,"&gt;"&amp;AE28)</f>
        <v>95</v>
      </c>
      <c r="AH28" s="17" t="n">
        <f aca="false">IF(AG28=0,AE28,AE28+(Q28-AF28)/AG28)</f>
        <v>5.02105263157895</v>
      </c>
      <c r="AI28" s="8" t="n">
        <f aca="false">MIN(P28,AH28*E28)</f>
        <v>477</v>
      </c>
    </row>
    <row r="29" customFormat="false" ht="15" hidden="false" customHeight="false" outlineLevel="0" collapsed="false">
      <c r="A29" s="14" t="str">
        <f aca="false">Stock!A29</f>
        <v>Premium lager 33cl bottle</v>
      </c>
      <c r="B29" s="14" t="str">
        <f aca="false">Stock!B29</f>
        <v>Depot Coastal</v>
      </c>
      <c r="C29" s="14" t="str">
        <f aca="false">INDEX(Inputs!$B$26:$B$31,MATCH(A29,Inputs!$A$26:$A$31,0))</f>
        <v>Slow</v>
      </c>
      <c r="D29" s="14" t="str">
        <f aca="false">INDEX(Inputs!$B$17:$B$21,MATCH(B29,Inputs!$A$17:$A$21,0))</f>
        <v>N</v>
      </c>
      <c r="E29" s="6" t="n">
        <f aca="false">Stock!C29</f>
        <v>72</v>
      </c>
      <c r="F29" s="6" t="n">
        <f aca="false">Stock!D29+Stock!E29</f>
        <v>2592</v>
      </c>
      <c r="G29" s="8" t="n">
        <f aca="false">IFERROR(F29/E29,0)</f>
        <v>36</v>
      </c>
      <c r="H29" s="6" t="n">
        <f aca="false">INDEX(Inputs!$C$5:$C$7,MATCH(C29,Inputs!$A$5:$A$7,0))</f>
        <v>18</v>
      </c>
      <c r="I29" s="6" t="n">
        <f aca="false">MAX(0,ROUND(H29*E29-F29,0))</f>
        <v>0</v>
      </c>
      <c r="J29" s="6" t="n">
        <f aca="false">INDEX(Inputs!$C$26:$C$31,MATCH(A29,Inputs!$A$26:$A$31,0))</f>
        <v>2000</v>
      </c>
      <c r="K29" s="6" t="n">
        <f aca="false">SUMIF($A$5:$A$34,A29,$I$5:$I$34)</f>
        <v>2204</v>
      </c>
      <c r="L29" s="14" t="str">
        <f aca="false">IF(K29&gt;J29,"Yes","No")</f>
        <v>Yes</v>
      </c>
      <c r="M29" s="6" t="n">
        <f aca="false">IF(AND(L29="Yes",D29="Y"),MIN(I29,Inputs!$B$11*E29),0)</f>
        <v>0</v>
      </c>
      <c r="N29" s="6" t="n">
        <f aca="false">SUMIF($A$5:$A$34,A29,$M$5:$M$34)</f>
        <v>885</v>
      </c>
      <c r="O29" s="8" t="n">
        <f aca="false">IF(N29&gt;J29,M29*J29/N29,M29)</f>
        <v>0</v>
      </c>
      <c r="P29" s="6" t="n">
        <f aca="false">I29-O29</f>
        <v>0</v>
      </c>
      <c r="Q29" s="6" t="n">
        <f aca="false">MAX(0,J29-MIN(N29,J29))</f>
        <v>1115</v>
      </c>
      <c r="R29" s="17" t="n">
        <f aca="false">IF(P29&gt;0,P29/E29,0)</f>
        <v>0</v>
      </c>
      <c r="S29" s="6" t="n">
        <f aca="false">SUMPRODUCT(($A$5:$A$34=A29)*(($P$5:$P$34&lt;R29*$E$5:$E$34)*$P$5:$P$34+($P$5:$P$34&gt;=R29*$E$5:$E$34)*R29*$E$5:$E$34))</f>
        <v>0</v>
      </c>
      <c r="T29" s="17" t="n">
        <f aca="false">IF(AND(P29&gt;0,S29&lt;=Q29),R29,0)</f>
        <v>0</v>
      </c>
      <c r="U29" s="6" t="n">
        <f aca="false">IF(L29="No",I29,ROUNDDOWN(O29+AI29,0))</f>
        <v>0</v>
      </c>
      <c r="V29" s="8" t="n">
        <f aca="false">IFERROR((F29+U29)/E29,0)</f>
        <v>36</v>
      </c>
      <c r="W29" s="6" t="n">
        <f aca="false">INDEX(Inputs!$B$5:$B$7,MATCH(C29,Inputs!$A$5:$A$7,0))</f>
        <v>10</v>
      </c>
      <c r="X29" s="6" t="n">
        <f aca="false">INDEX(Inputs!$D$5:$D$7,MATCH(C29,Inputs!$A$5:$A$7,0))</f>
        <v>28</v>
      </c>
      <c r="Y29" s="14" t="str">
        <f aca="false">IF(V29&lt;W29,"Below band",IF(V29&gt;X29,"Above band","Within band"))</f>
        <v>Above band</v>
      </c>
      <c r="Z29" s="14" t="str">
        <f aca="false">IF(G29&lt;W29,"Below band",IF(G29&gt;X29,"Above band","Within band"))</f>
        <v>Above band</v>
      </c>
      <c r="AA29" s="6" t="n">
        <f aca="false">MAX(0,ROUNDDOWN((V29-X29)*E29,0))</f>
        <v>576</v>
      </c>
      <c r="AB29" s="6" t="n">
        <f aca="false">MAX(0,ROUNDUP((W29-V29)*E29,0))</f>
        <v>0</v>
      </c>
      <c r="AC29" s="14" t="str">
        <f aca="false">A29&amp;"|"&amp;AA29</f>
        <v>Premium lager 33cl bottle|576</v>
      </c>
      <c r="AD29" s="14" t="str">
        <f aca="false">A29&amp;"|"&amp;AB29</f>
        <v>Premium lager 33cl bottle|0</v>
      </c>
      <c r="AE29" s="17" t="n">
        <f aca="false">_xlfn.MAXIFS($T$5:$T$34,$A$5:$A$34,A29)</f>
        <v>3.19230769230769</v>
      </c>
      <c r="AF29" s="8" t="n">
        <f aca="false">SUMPRODUCT(($A$5:$A$34=A29)*(($P$5:$P$34&lt;AE29*$E$5:$E$34)*$P$5:$P$34+($P$5:$P$34&gt;=AE29*$E$5:$E$34)*AE29*$E$5:$E$34))</f>
        <v>941.269230769231</v>
      </c>
      <c r="AG29" s="6" t="n">
        <f aca="false">SUMIFS($E$5:$E$34,$A$5:$A$34,A29,$R$5:$R$34,"&gt;"&amp;AE29)</f>
        <v>95</v>
      </c>
      <c r="AH29" s="17" t="n">
        <f aca="false">IF(AG29=0,AE29,AE29+(Q29-AF29)/AG29)</f>
        <v>5.02105263157895</v>
      </c>
      <c r="AI29" s="8" t="n">
        <f aca="false">MIN(P29,AH29*E29)</f>
        <v>0</v>
      </c>
    </row>
    <row r="30" customFormat="false" ht="15" hidden="false" customHeight="false" outlineLevel="0" collapsed="false">
      <c r="A30" s="14" t="str">
        <f aca="false">Stock!A30</f>
        <v>Shandy 33cl can</v>
      </c>
      <c r="B30" s="14" t="str">
        <f aca="false">Stock!B30</f>
        <v>Depot North</v>
      </c>
      <c r="C30" s="14" t="str">
        <f aca="false">INDEX(Inputs!$B$26:$B$31,MATCH(A30,Inputs!$A$26:$A$31,0))</f>
        <v>Slow</v>
      </c>
      <c r="D30" s="14" t="str">
        <f aca="false">INDEX(Inputs!$B$17:$B$21,MATCH(B30,Inputs!$A$17:$A$21,0))</f>
        <v>N</v>
      </c>
      <c r="E30" s="6" t="n">
        <f aca="false">Stock!C30</f>
        <v>47</v>
      </c>
      <c r="F30" s="6" t="n">
        <f aca="false">Stock!D30+Stock!E30</f>
        <v>540</v>
      </c>
      <c r="G30" s="8" t="n">
        <f aca="false">IFERROR(F30/E30,0)</f>
        <v>11.4893617021277</v>
      </c>
      <c r="H30" s="6" t="n">
        <f aca="false">INDEX(Inputs!$C$5:$C$7,MATCH(C30,Inputs!$A$5:$A$7,0))</f>
        <v>18</v>
      </c>
      <c r="I30" s="6" t="n">
        <f aca="false">MAX(0,ROUND(H30*E30-F30,0))</f>
        <v>306</v>
      </c>
      <c r="J30" s="6" t="n">
        <f aca="false">INDEX(Inputs!$C$26:$C$31,MATCH(A30,Inputs!$A$26:$A$31,0))</f>
        <v>4300</v>
      </c>
      <c r="K30" s="6" t="n">
        <f aca="false">SUMIF($A$5:$A$34,A30,$I$5:$I$34)</f>
        <v>2887</v>
      </c>
      <c r="L30" s="14" t="str">
        <f aca="false">IF(K30&gt;J30,"Yes","No")</f>
        <v>No</v>
      </c>
      <c r="M30" s="6" t="n">
        <f aca="false">IF(AND(L30="Yes",D30="Y"),MIN(I30,Inputs!$B$11*E30),0)</f>
        <v>0</v>
      </c>
      <c r="N30" s="6" t="n">
        <f aca="false">SUMIF($A$5:$A$34,A30,$M$5:$M$34)</f>
        <v>0</v>
      </c>
      <c r="O30" s="8" t="n">
        <f aca="false">IF(N30&gt;J30,M30*J30/N30,M30)</f>
        <v>0</v>
      </c>
      <c r="P30" s="6" t="n">
        <f aca="false">I30-O30</f>
        <v>306</v>
      </c>
      <c r="Q30" s="6" t="n">
        <f aca="false">MAX(0,J30-MIN(N30,J30))</f>
        <v>4300</v>
      </c>
      <c r="R30" s="17" t="n">
        <f aca="false">IF(P30&gt;0,P30/E30,0)</f>
        <v>6.51063829787234</v>
      </c>
      <c r="S30" s="6" t="n">
        <f aca="false">SUMPRODUCT(($A$5:$A$34=A30)*(($P$5:$P$34&lt;R30*$E$5:$E$34)*$P$5:$P$34+($P$5:$P$34&gt;=R30*$E$5:$E$34)*R30*$E$5:$E$34))</f>
        <v>2070.3829787234</v>
      </c>
      <c r="T30" s="17" t="n">
        <f aca="false">IF(AND(P30&gt;0,S30&lt;=Q30),R30,0)</f>
        <v>6.51063829787234</v>
      </c>
      <c r="U30" s="6" t="n">
        <f aca="false">IF(L30="No",I30,ROUNDDOWN(O30+AI30,0))</f>
        <v>306</v>
      </c>
      <c r="V30" s="8" t="n">
        <f aca="false">IFERROR((F30+U30)/E30,0)</f>
        <v>18</v>
      </c>
      <c r="W30" s="6" t="n">
        <f aca="false">INDEX(Inputs!$B$5:$B$7,MATCH(C30,Inputs!$A$5:$A$7,0))</f>
        <v>10</v>
      </c>
      <c r="X30" s="6" t="n">
        <f aca="false">INDEX(Inputs!$D$5:$D$7,MATCH(C30,Inputs!$A$5:$A$7,0))</f>
        <v>28</v>
      </c>
      <c r="Y30" s="14" t="str">
        <f aca="false">IF(V30&lt;W30,"Below band",IF(V30&gt;X30,"Above band","Within band"))</f>
        <v>Within band</v>
      </c>
      <c r="Z30" s="14" t="str">
        <f aca="false">IF(G30&lt;W30,"Below band",IF(G30&gt;X30,"Above band","Within band"))</f>
        <v>Within band</v>
      </c>
      <c r="AA30" s="6" t="n">
        <f aca="false">MAX(0,ROUNDDOWN((V30-X30)*E30,0))</f>
        <v>0</v>
      </c>
      <c r="AB30" s="6" t="n">
        <f aca="false">MAX(0,ROUNDUP((W30-V30)*E30,0))</f>
        <v>0</v>
      </c>
      <c r="AC30" s="14" t="str">
        <f aca="false">A30&amp;"|"&amp;AA30</f>
        <v>Shandy 33cl can|0</v>
      </c>
      <c r="AD30" s="14" t="str">
        <f aca="false">A30&amp;"|"&amp;AB30</f>
        <v>Shandy 33cl can|0</v>
      </c>
      <c r="AE30" s="17" t="n">
        <f aca="false">_xlfn.MAXIFS($T$5:$T$34,$A$5:$A$34,A30)</f>
        <v>11.752688172043</v>
      </c>
      <c r="AF30" s="8" t="n">
        <f aca="false">SUMPRODUCT(($A$5:$A$34=A30)*(($P$5:$P$34&lt;AE30*$E$5:$E$34)*$P$5:$P$34+($P$5:$P$34&gt;=AE30*$E$5:$E$34)*AE30*$E$5:$E$34))</f>
        <v>2887</v>
      </c>
      <c r="AG30" s="6" t="n">
        <f aca="false">SUMIFS($E$5:$E$34,$A$5:$A$34,A30,$R$5:$R$34,"&gt;"&amp;AE30)</f>
        <v>0</v>
      </c>
      <c r="AH30" s="17" t="n">
        <f aca="false">IF(AG30=0,AE30,AE30+(Q30-AF30)/AG30)</f>
        <v>11.752688172043</v>
      </c>
      <c r="AI30" s="8" t="n">
        <f aca="false">MIN(P30,AH30*E30)</f>
        <v>306</v>
      </c>
    </row>
    <row r="31" customFormat="false" ht="15" hidden="false" customHeight="false" outlineLevel="0" collapsed="false">
      <c r="A31" s="14" t="str">
        <f aca="false">Stock!A31</f>
        <v>Shandy 33cl can</v>
      </c>
      <c r="B31" s="14" t="str">
        <f aca="false">Stock!B31</f>
        <v>Depot Central</v>
      </c>
      <c r="C31" s="14" t="str">
        <f aca="false">INDEX(Inputs!$B$26:$B$31,MATCH(A31,Inputs!$A$26:$A$31,0))</f>
        <v>Slow</v>
      </c>
      <c r="D31" s="14" t="str">
        <f aca="false">INDEX(Inputs!$B$17:$B$21,MATCH(B31,Inputs!$A$17:$A$21,0))</f>
        <v>Y</v>
      </c>
      <c r="E31" s="6" t="n">
        <f aca="false">Stock!C31</f>
        <v>61</v>
      </c>
      <c r="F31" s="6" t="n">
        <f aca="false">Stock!D31+Stock!E31</f>
        <v>551</v>
      </c>
      <c r="G31" s="8" t="n">
        <f aca="false">IFERROR(F31/E31,0)</f>
        <v>9.0327868852459</v>
      </c>
      <c r="H31" s="6" t="n">
        <f aca="false">INDEX(Inputs!$C$5:$C$7,MATCH(C31,Inputs!$A$5:$A$7,0))</f>
        <v>18</v>
      </c>
      <c r="I31" s="6" t="n">
        <f aca="false">MAX(0,ROUND(H31*E31-F31,0))</f>
        <v>547</v>
      </c>
      <c r="J31" s="6" t="n">
        <f aca="false">INDEX(Inputs!$C$26:$C$31,MATCH(A31,Inputs!$A$26:$A$31,0))</f>
        <v>4300</v>
      </c>
      <c r="K31" s="6" t="n">
        <f aca="false">SUMIF($A$5:$A$34,A31,$I$5:$I$34)</f>
        <v>2887</v>
      </c>
      <c r="L31" s="14" t="str">
        <f aca="false">IF(K31&gt;J31,"Yes","No")</f>
        <v>No</v>
      </c>
      <c r="M31" s="6" t="n">
        <f aca="false">IF(AND(L31="Yes",D31="Y"),MIN(I31,Inputs!$B$11*E31),0)</f>
        <v>0</v>
      </c>
      <c r="N31" s="6" t="n">
        <f aca="false">SUMIF($A$5:$A$34,A31,$M$5:$M$34)</f>
        <v>0</v>
      </c>
      <c r="O31" s="8" t="n">
        <f aca="false">IF(N31&gt;J31,M31*J31/N31,M31)</f>
        <v>0</v>
      </c>
      <c r="P31" s="6" t="n">
        <f aca="false">I31-O31</f>
        <v>547</v>
      </c>
      <c r="Q31" s="6" t="n">
        <f aca="false">MAX(0,J31-MIN(N31,J31))</f>
        <v>4300</v>
      </c>
      <c r="R31" s="17" t="n">
        <f aca="false">IF(P31&gt;0,P31/E31,0)</f>
        <v>8.9672131147541</v>
      </c>
      <c r="S31" s="6" t="n">
        <f aca="false">SUMPRODUCT(($A$5:$A$34=A31)*(($P$5:$P$34&lt;R31*$E$5:$E$34)*$P$5:$P$34+($P$5:$P$34&gt;=R31*$E$5:$E$34)*R31*$E$5:$E$34))</f>
        <v>2621.68852459016</v>
      </c>
      <c r="T31" s="17" t="n">
        <f aca="false">IF(AND(P31&gt;0,S31&lt;=Q31),R31,0)</f>
        <v>8.9672131147541</v>
      </c>
      <c r="U31" s="6" t="n">
        <f aca="false">IF(L31="No",I31,ROUNDDOWN(O31+AI31,0))</f>
        <v>547</v>
      </c>
      <c r="V31" s="8" t="n">
        <f aca="false">IFERROR((F31+U31)/E31,0)</f>
        <v>18</v>
      </c>
      <c r="W31" s="6" t="n">
        <f aca="false">INDEX(Inputs!$B$5:$B$7,MATCH(C31,Inputs!$A$5:$A$7,0))</f>
        <v>10</v>
      </c>
      <c r="X31" s="6" t="n">
        <f aca="false">INDEX(Inputs!$D$5:$D$7,MATCH(C31,Inputs!$A$5:$A$7,0))</f>
        <v>28</v>
      </c>
      <c r="Y31" s="14" t="str">
        <f aca="false">IF(V31&lt;W31,"Below band",IF(V31&gt;X31,"Above band","Within band"))</f>
        <v>Within band</v>
      </c>
      <c r="Z31" s="14" t="str">
        <f aca="false">IF(G31&lt;W31,"Below band",IF(G31&gt;X31,"Above band","Within band"))</f>
        <v>Below band</v>
      </c>
      <c r="AA31" s="6" t="n">
        <f aca="false">MAX(0,ROUNDDOWN((V31-X31)*E31,0))</f>
        <v>0</v>
      </c>
      <c r="AB31" s="6" t="n">
        <f aca="false">MAX(0,ROUNDUP((W31-V31)*E31,0))</f>
        <v>0</v>
      </c>
      <c r="AC31" s="14" t="str">
        <f aca="false">A31&amp;"|"&amp;AA31</f>
        <v>Shandy 33cl can|0</v>
      </c>
      <c r="AD31" s="14" t="str">
        <f aca="false">A31&amp;"|"&amp;AB31</f>
        <v>Shandy 33cl can|0</v>
      </c>
      <c r="AE31" s="17" t="n">
        <f aca="false">_xlfn.MAXIFS($T$5:$T$34,$A$5:$A$34,A31)</f>
        <v>11.752688172043</v>
      </c>
      <c r="AF31" s="8" t="n">
        <f aca="false">SUMPRODUCT(($A$5:$A$34=A31)*(($P$5:$P$34&lt;AE31*$E$5:$E$34)*$P$5:$P$34+($P$5:$P$34&gt;=AE31*$E$5:$E$34)*AE31*$E$5:$E$34))</f>
        <v>2887</v>
      </c>
      <c r="AG31" s="6" t="n">
        <f aca="false">SUMIFS($E$5:$E$34,$A$5:$A$34,A31,$R$5:$R$34,"&gt;"&amp;AE31)</f>
        <v>0</v>
      </c>
      <c r="AH31" s="17" t="n">
        <f aca="false">IF(AG31=0,AE31,AE31+(Q31-AF31)/AG31)</f>
        <v>11.752688172043</v>
      </c>
      <c r="AI31" s="8" t="n">
        <f aca="false">MIN(P31,AH31*E31)</f>
        <v>547</v>
      </c>
    </row>
    <row r="32" customFormat="false" ht="15" hidden="false" customHeight="false" outlineLevel="0" collapsed="false">
      <c r="A32" s="14" t="str">
        <f aca="false">Stock!A32</f>
        <v>Shandy 33cl can</v>
      </c>
      <c r="B32" s="14" t="str">
        <f aca="false">Stock!B32</f>
        <v>Depot South-West</v>
      </c>
      <c r="C32" s="14" t="str">
        <f aca="false">INDEX(Inputs!$B$26:$B$31,MATCH(A32,Inputs!$A$26:$A$31,0))</f>
        <v>Slow</v>
      </c>
      <c r="D32" s="14" t="str">
        <f aca="false">INDEX(Inputs!$B$17:$B$21,MATCH(B32,Inputs!$A$17:$A$21,0))</f>
        <v>Y</v>
      </c>
      <c r="E32" s="6" t="n">
        <f aca="false">Stock!C32</f>
        <v>93</v>
      </c>
      <c r="F32" s="6" t="n">
        <f aca="false">Stock!D32+Stock!E32</f>
        <v>581</v>
      </c>
      <c r="G32" s="8" t="n">
        <f aca="false">IFERROR(F32/E32,0)</f>
        <v>6.24731182795699</v>
      </c>
      <c r="H32" s="6" t="n">
        <f aca="false">INDEX(Inputs!$C$5:$C$7,MATCH(C32,Inputs!$A$5:$A$7,0))</f>
        <v>18</v>
      </c>
      <c r="I32" s="6" t="n">
        <f aca="false">MAX(0,ROUND(H32*E32-F32,0))</f>
        <v>1093</v>
      </c>
      <c r="J32" s="6" t="n">
        <f aca="false">INDEX(Inputs!$C$26:$C$31,MATCH(A32,Inputs!$A$26:$A$31,0))</f>
        <v>4300</v>
      </c>
      <c r="K32" s="6" t="n">
        <f aca="false">SUMIF($A$5:$A$34,A32,$I$5:$I$34)</f>
        <v>2887</v>
      </c>
      <c r="L32" s="14" t="str">
        <f aca="false">IF(K32&gt;J32,"Yes","No")</f>
        <v>No</v>
      </c>
      <c r="M32" s="6" t="n">
        <f aca="false">IF(AND(L32="Yes",D32="Y"),MIN(I32,Inputs!$B$11*E32),0)</f>
        <v>0</v>
      </c>
      <c r="N32" s="6" t="n">
        <f aca="false">SUMIF($A$5:$A$34,A32,$M$5:$M$34)</f>
        <v>0</v>
      </c>
      <c r="O32" s="8" t="n">
        <f aca="false">IF(N32&gt;J32,M32*J32/N32,M32)</f>
        <v>0</v>
      </c>
      <c r="P32" s="6" t="n">
        <f aca="false">I32-O32</f>
        <v>1093</v>
      </c>
      <c r="Q32" s="6" t="n">
        <f aca="false">MAX(0,J32-MIN(N32,J32))</f>
        <v>4300</v>
      </c>
      <c r="R32" s="17" t="n">
        <f aca="false">IF(P32&gt;0,P32/E32,0)</f>
        <v>11.752688172043</v>
      </c>
      <c r="S32" s="6" t="n">
        <f aca="false">SUMPRODUCT(($A$5:$A$34=A32)*(($P$5:$P$34&lt;R32*$E$5:$E$34)*$P$5:$P$34+($P$5:$P$34&gt;=R32*$E$5:$E$34)*R32*$E$5:$E$34))</f>
        <v>2887</v>
      </c>
      <c r="T32" s="17" t="n">
        <f aca="false">IF(AND(P32&gt;0,S32&lt;=Q32),R32,0)</f>
        <v>11.752688172043</v>
      </c>
      <c r="U32" s="6" t="n">
        <f aca="false">IF(L32="No",I32,ROUNDDOWN(O32+AI32,0))</f>
        <v>1093</v>
      </c>
      <c r="V32" s="8" t="n">
        <f aca="false">IFERROR((F32+U32)/E32,0)</f>
        <v>18</v>
      </c>
      <c r="W32" s="6" t="n">
        <f aca="false">INDEX(Inputs!$B$5:$B$7,MATCH(C32,Inputs!$A$5:$A$7,0))</f>
        <v>10</v>
      </c>
      <c r="X32" s="6" t="n">
        <f aca="false">INDEX(Inputs!$D$5:$D$7,MATCH(C32,Inputs!$A$5:$A$7,0))</f>
        <v>28</v>
      </c>
      <c r="Y32" s="14" t="str">
        <f aca="false">IF(V32&lt;W32,"Below band",IF(V32&gt;X32,"Above band","Within band"))</f>
        <v>Within band</v>
      </c>
      <c r="Z32" s="14" t="str">
        <f aca="false">IF(G32&lt;W32,"Below band",IF(G32&gt;X32,"Above band","Within band"))</f>
        <v>Below band</v>
      </c>
      <c r="AA32" s="6" t="n">
        <f aca="false">MAX(0,ROUNDDOWN((V32-X32)*E32,0))</f>
        <v>0</v>
      </c>
      <c r="AB32" s="6" t="n">
        <f aca="false">MAX(0,ROUNDUP((W32-V32)*E32,0))</f>
        <v>0</v>
      </c>
      <c r="AC32" s="14" t="str">
        <f aca="false">A32&amp;"|"&amp;AA32</f>
        <v>Shandy 33cl can|0</v>
      </c>
      <c r="AD32" s="14" t="str">
        <f aca="false">A32&amp;"|"&amp;AB32</f>
        <v>Shandy 33cl can|0</v>
      </c>
      <c r="AE32" s="17" t="n">
        <f aca="false">_xlfn.MAXIFS($T$5:$T$34,$A$5:$A$34,A32)</f>
        <v>11.752688172043</v>
      </c>
      <c r="AF32" s="8" t="n">
        <f aca="false">SUMPRODUCT(($A$5:$A$34=A32)*(($P$5:$P$34&lt;AE32*$E$5:$E$34)*$P$5:$P$34+($P$5:$P$34&gt;=AE32*$E$5:$E$34)*AE32*$E$5:$E$34))</f>
        <v>2887</v>
      </c>
      <c r="AG32" s="6" t="n">
        <f aca="false">SUMIFS($E$5:$E$34,$A$5:$A$34,A32,$R$5:$R$34,"&gt;"&amp;AE32)</f>
        <v>0</v>
      </c>
      <c r="AH32" s="17" t="n">
        <f aca="false">IF(AG32=0,AE32,AE32+(Q32-AF32)/AG32)</f>
        <v>11.752688172043</v>
      </c>
      <c r="AI32" s="8" t="n">
        <f aca="false">MIN(P32,AH32*E32)</f>
        <v>1093</v>
      </c>
    </row>
    <row r="33" customFormat="false" ht="15" hidden="false" customHeight="false" outlineLevel="0" collapsed="false">
      <c r="A33" s="14" t="str">
        <f aca="false">Stock!A33</f>
        <v>Shandy 33cl can</v>
      </c>
      <c r="B33" s="14" t="str">
        <f aca="false">Stock!B33</f>
        <v>Depot South-East</v>
      </c>
      <c r="C33" s="14" t="str">
        <f aca="false">INDEX(Inputs!$B$26:$B$31,MATCH(A33,Inputs!$A$26:$A$31,0))</f>
        <v>Slow</v>
      </c>
      <c r="D33" s="14" t="str">
        <f aca="false">INDEX(Inputs!$B$17:$B$21,MATCH(B33,Inputs!$A$17:$A$21,0))</f>
        <v>N</v>
      </c>
      <c r="E33" s="6" t="n">
        <f aca="false">Stock!C33</f>
        <v>69</v>
      </c>
      <c r="F33" s="6" t="n">
        <f aca="false">Stock!D33+Stock!E33</f>
        <v>617</v>
      </c>
      <c r="G33" s="8" t="n">
        <f aca="false">IFERROR(F33/E33,0)</f>
        <v>8.94202898550725</v>
      </c>
      <c r="H33" s="6" t="n">
        <f aca="false">INDEX(Inputs!$C$5:$C$7,MATCH(C33,Inputs!$A$5:$A$7,0))</f>
        <v>18</v>
      </c>
      <c r="I33" s="6" t="n">
        <f aca="false">MAX(0,ROUND(H33*E33-F33,0))</f>
        <v>625</v>
      </c>
      <c r="J33" s="6" t="n">
        <f aca="false">INDEX(Inputs!$C$26:$C$31,MATCH(A33,Inputs!$A$26:$A$31,0))</f>
        <v>4300</v>
      </c>
      <c r="K33" s="6" t="n">
        <f aca="false">SUMIF($A$5:$A$34,A33,$I$5:$I$34)</f>
        <v>2887</v>
      </c>
      <c r="L33" s="14" t="str">
        <f aca="false">IF(K33&gt;J33,"Yes","No")</f>
        <v>No</v>
      </c>
      <c r="M33" s="6" t="n">
        <f aca="false">IF(AND(L33="Yes",D33="Y"),MIN(I33,Inputs!$B$11*E33),0)</f>
        <v>0</v>
      </c>
      <c r="N33" s="6" t="n">
        <f aca="false">SUMIF($A$5:$A$34,A33,$M$5:$M$34)</f>
        <v>0</v>
      </c>
      <c r="O33" s="8" t="n">
        <f aca="false">IF(N33&gt;J33,M33*J33/N33,M33)</f>
        <v>0</v>
      </c>
      <c r="P33" s="6" t="n">
        <f aca="false">I33-O33</f>
        <v>625</v>
      </c>
      <c r="Q33" s="6" t="n">
        <f aca="false">MAX(0,J33-MIN(N33,J33))</f>
        <v>4300</v>
      </c>
      <c r="R33" s="17" t="n">
        <f aca="false">IF(P33&gt;0,P33/E33,0)</f>
        <v>9.05797101449275</v>
      </c>
      <c r="S33" s="6" t="n">
        <f aca="false">SUMPRODUCT(($A$5:$A$34=A33)*(($P$5:$P$34&lt;R33*$E$5:$E$34)*$P$5:$P$34+($P$5:$P$34&gt;=R33*$E$5:$E$34)*R33*$E$5:$E$34))</f>
        <v>2636.39130434783</v>
      </c>
      <c r="T33" s="17" t="n">
        <f aca="false">IF(AND(P33&gt;0,S33&lt;=Q33),R33,0)</f>
        <v>9.05797101449275</v>
      </c>
      <c r="U33" s="6" t="n">
        <f aca="false">IF(L33="No",I33,ROUNDDOWN(O33+AI33,0))</f>
        <v>625</v>
      </c>
      <c r="V33" s="8" t="n">
        <f aca="false">IFERROR((F33+U33)/E33,0)</f>
        <v>18</v>
      </c>
      <c r="W33" s="6" t="n">
        <f aca="false">INDEX(Inputs!$B$5:$B$7,MATCH(C33,Inputs!$A$5:$A$7,0))</f>
        <v>10</v>
      </c>
      <c r="X33" s="6" t="n">
        <f aca="false">INDEX(Inputs!$D$5:$D$7,MATCH(C33,Inputs!$A$5:$A$7,0))</f>
        <v>28</v>
      </c>
      <c r="Y33" s="14" t="str">
        <f aca="false">IF(V33&lt;W33,"Below band",IF(V33&gt;X33,"Above band","Within band"))</f>
        <v>Within band</v>
      </c>
      <c r="Z33" s="14" t="str">
        <f aca="false">IF(G33&lt;W33,"Below band",IF(G33&gt;X33,"Above band","Within band"))</f>
        <v>Below band</v>
      </c>
      <c r="AA33" s="6" t="n">
        <f aca="false">MAX(0,ROUNDDOWN((V33-X33)*E33,0))</f>
        <v>0</v>
      </c>
      <c r="AB33" s="6" t="n">
        <f aca="false">MAX(0,ROUNDUP((W33-V33)*E33,0))</f>
        <v>0</v>
      </c>
      <c r="AC33" s="14" t="str">
        <f aca="false">A33&amp;"|"&amp;AA33</f>
        <v>Shandy 33cl can|0</v>
      </c>
      <c r="AD33" s="14" t="str">
        <f aca="false">A33&amp;"|"&amp;AB33</f>
        <v>Shandy 33cl can|0</v>
      </c>
      <c r="AE33" s="17" t="n">
        <f aca="false">_xlfn.MAXIFS($T$5:$T$34,$A$5:$A$34,A33)</f>
        <v>11.752688172043</v>
      </c>
      <c r="AF33" s="8" t="n">
        <f aca="false">SUMPRODUCT(($A$5:$A$34=A33)*(($P$5:$P$34&lt;AE33*$E$5:$E$34)*$P$5:$P$34+($P$5:$P$34&gt;=AE33*$E$5:$E$34)*AE33*$E$5:$E$34))</f>
        <v>2887</v>
      </c>
      <c r="AG33" s="6" t="n">
        <f aca="false">SUMIFS($E$5:$E$34,$A$5:$A$34,A33,$R$5:$R$34,"&gt;"&amp;AE33)</f>
        <v>0</v>
      </c>
      <c r="AH33" s="17" t="n">
        <f aca="false">IF(AG33=0,AE33,AE33+(Q33-AF33)/AG33)</f>
        <v>11.752688172043</v>
      </c>
      <c r="AI33" s="8" t="n">
        <f aca="false">MIN(P33,AH33*E33)</f>
        <v>625</v>
      </c>
    </row>
    <row r="34" customFormat="false" ht="15" hidden="false" customHeight="false" outlineLevel="0" collapsed="false">
      <c r="A34" s="14" t="str">
        <f aca="false">Stock!A34</f>
        <v>Shandy 33cl can</v>
      </c>
      <c r="B34" s="14" t="str">
        <f aca="false">Stock!B34</f>
        <v>Depot Coastal</v>
      </c>
      <c r="C34" s="14" t="str">
        <f aca="false">INDEX(Inputs!$B$26:$B$31,MATCH(A34,Inputs!$A$26:$A$31,0))</f>
        <v>Slow</v>
      </c>
      <c r="D34" s="14" t="str">
        <f aca="false">INDEX(Inputs!$B$17:$B$21,MATCH(B34,Inputs!$A$17:$A$21,0))</f>
        <v>N</v>
      </c>
      <c r="E34" s="6" t="n">
        <f aca="false">Stock!C34</f>
        <v>48</v>
      </c>
      <c r="F34" s="6" t="n">
        <f aca="false">Stock!D34+Stock!E34</f>
        <v>548</v>
      </c>
      <c r="G34" s="8" t="n">
        <f aca="false">IFERROR(F34/E34,0)</f>
        <v>11.4166666666667</v>
      </c>
      <c r="H34" s="6" t="n">
        <f aca="false">INDEX(Inputs!$C$5:$C$7,MATCH(C34,Inputs!$A$5:$A$7,0))</f>
        <v>18</v>
      </c>
      <c r="I34" s="6" t="n">
        <f aca="false">MAX(0,ROUND(H34*E34-F34,0))</f>
        <v>316</v>
      </c>
      <c r="J34" s="6" t="n">
        <f aca="false">INDEX(Inputs!$C$26:$C$31,MATCH(A34,Inputs!$A$26:$A$31,0))</f>
        <v>4300</v>
      </c>
      <c r="K34" s="6" t="n">
        <f aca="false">SUMIF($A$5:$A$34,A34,$I$5:$I$34)</f>
        <v>2887</v>
      </c>
      <c r="L34" s="14" t="str">
        <f aca="false">IF(K34&gt;J34,"Yes","No")</f>
        <v>No</v>
      </c>
      <c r="M34" s="6" t="n">
        <f aca="false">IF(AND(L34="Yes",D34="Y"),MIN(I34,Inputs!$B$11*E34),0)</f>
        <v>0</v>
      </c>
      <c r="N34" s="6" t="n">
        <f aca="false">SUMIF($A$5:$A$34,A34,$M$5:$M$34)</f>
        <v>0</v>
      </c>
      <c r="O34" s="8" t="n">
        <f aca="false">IF(N34&gt;J34,M34*J34/N34,M34)</f>
        <v>0</v>
      </c>
      <c r="P34" s="6" t="n">
        <f aca="false">I34-O34</f>
        <v>316</v>
      </c>
      <c r="Q34" s="6" t="n">
        <f aca="false">MAX(0,J34-MIN(N34,J34))</f>
        <v>4300</v>
      </c>
      <c r="R34" s="17" t="n">
        <f aca="false">IF(P34&gt;0,P34/E34,0)</f>
        <v>6.58333333333333</v>
      </c>
      <c r="S34" s="6" t="n">
        <f aca="false">SUMPRODUCT(($A$5:$A$34=A34)*(($P$5:$P$34&lt;R34*$E$5:$E$34)*$P$5:$P$34+($P$5:$P$34&gt;=R34*$E$5:$E$34)*R34*$E$5:$E$34))</f>
        <v>2090.08333333333</v>
      </c>
      <c r="T34" s="17" t="n">
        <f aca="false">IF(AND(P34&gt;0,S34&lt;=Q34),R34,0)</f>
        <v>6.58333333333333</v>
      </c>
      <c r="U34" s="6" t="n">
        <f aca="false">IF(L34="No",I34,ROUNDDOWN(O34+AI34,0))</f>
        <v>316</v>
      </c>
      <c r="V34" s="8" t="n">
        <f aca="false">IFERROR((F34+U34)/E34,0)</f>
        <v>18</v>
      </c>
      <c r="W34" s="6" t="n">
        <f aca="false">INDEX(Inputs!$B$5:$B$7,MATCH(C34,Inputs!$A$5:$A$7,0))</f>
        <v>10</v>
      </c>
      <c r="X34" s="6" t="n">
        <f aca="false">INDEX(Inputs!$D$5:$D$7,MATCH(C34,Inputs!$A$5:$A$7,0))</f>
        <v>28</v>
      </c>
      <c r="Y34" s="14" t="str">
        <f aca="false">IF(V34&lt;W34,"Below band",IF(V34&gt;X34,"Above band","Within band"))</f>
        <v>Within band</v>
      </c>
      <c r="Z34" s="14" t="str">
        <f aca="false">IF(G34&lt;W34,"Below band",IF(G34&gt;X34,"Above band","Within band"))</f>
        <v>Within band</v>
      </c>
      <c r="AA34" s="6" t="n">
        <f aca="false">MAX(0,ROUNDDOWN((V34-X34)*E34,0))</f>
        <v>0</v>
      </c>
      <c r="AB34" s="6" t="n">
        <f aca="false">MAX(0,ROUNDUP((W34-V34)*E34,0))</f>
        <v>0</v>
      </c>
      <c r="AC34" s="14" t="str">
        <f aca="false">A34&amp;"|"&amp;AA34</f>
        <v>Shandy 33cl can|0</v>
      </c>
      <c r="AD34" s="14" t="str">
        <f aca="false">A34&amp;"|"&amp;AB34</f>
        <v>Shandy 33cl can|0</v>
      </c>
      <c r="AE34" s="17" t="n">
        <f aca="false">_xlfn.MAXIFS($T$5:$T$34,$A$5:$A$34,A34)</f>
        <v>11.752688172043</v>
      </c>
      <c r="AF34" s="8" t="n">
        <f aca="false">SUMPRODUCT(($A$5:$A$34=A34)*(($P$5:$P$34&lt;AE34*$E$5:$E$34)*$P$5:$P$34+($P$5:$P$34&gt;=AE34*$E$5:$E$34)*AE34*$E$5:$E$34))</f>
        <v>2887</v>
      </c>
      <c r="AG34" s="6" t="n">
        <f aca="false">SUMIFS($E$5:$E$34,$A$5:$A$34,A34,$R$5:$R$34,"&gt;"&amp;AE34)</f>
        <v>0</v>
      </c>
      <c r="AH34" s="17" t="n">
        <f aca="false">IF(AG34=0,AE34,AE34+(Q34-AF34)/AG34)</f>
        <v>11.752688172043</v>
      </c>
      <c r="AI34" s="8" t="n">
        <f aca="false">MIN(P34,AH34*E34)</f>
        <v>316</v>
      </c>
    </row>
  </sheetData>
  <autoFilter ref="A4:AI34"/>
  <conditionalFormatting sqref="Y5:Y34">
    <cfRule type="cellIs" priority="2" operator="equal" aboveAverage="0" equalAverage="0" bottom="0" percent="0" rank="0" text="" dxfId="0">
      <formula>"Below band"</formula>
    </cfRule>
    <cfRule type="cellIs" priority="3" operator="equal" aboveAverage="0" equalAverage="0" bottom="0" percent="0" rank="0" text="" dxfId="12">
      <formula>"Above band"</formula>
    </cfRule>
    <cfRule type="cellIs" priority="4" operator="equal" aboveAverage="0" equalAverage="0" bottom="0" percent="0" rank="0" text="" dxfId="13">
      <formula>"Within band"</formula>
    </cfRule>
  </conditionalFormatting>
  <conditionalFormatting sqref="Z5:Z34">
    <cfRule type="cellIs" priority="5" operator="equal" aboveAverage="0" equalAverage="0" bottom="0" percent="0" rank="0" text="" dxfId="0">
      <formula>"Below band"</formula>
    </cfRule>
    <cfRule type="cellIs" priority="6" operator="equal" aboveAverage="0" equalAverage="0" bottom="0" percent="0" rank="0" text="" dxfId="12">
      <formula>"Above band"</formula>
    </cfRule>
    <cfRule type="cellIs" priority="7" operator="equal" aboveAverage="0" equalAverage="0" bottom="0" percent="0" rank="0" text="" dxfId="13">
      <formula>"Within band"</formula>
    </cfRule>
  </conditionalFormatting>
  <conditionalFormatting sqref="U5:U34">
    <cfRule type="expression" priority="8" aboveAverage="0" equalAverage="0" bottom="0" percent="0" rank="0" text="" dxfId="14">
      <formula>$L5="Yes"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18"/>
    <col collapsed="false" customWidth="true" hidden="false" outlineLevel="0" max="4" min="4" style="0" width="14"/>
    <col collapsed="false" customWidth="true" hidden="false" outlineLevel="0" max="5" min="5" style="0" width="18"/>
    <col collapsed="false" customWidth="true" hidden="false" outlineLevel="0" max="6" min="6" style="0" width="15"/>
    <col collapsed="false" customWidth="true" hidden="false" outlineLevel="0" max="7" min="7" style="0" width="13"/>
    <col collapsed="false" customWidth="true" hidden="false" outlineLevel="0" max="8" min="8" style="0" width="36"/>
    <col collapsed="false" customWidth="true" hidden="false" outlineLevel="0" max="9" min="9" style="0" width="13"/>
  </cols>
  <sheetData>
    <row r="1" customFormat="false" ht="17.35" hidden="false" customHeight="false" outlineLevel="0" collapsed="false">
      <c r="A1" s="1" t="s">
        <v>105</v>
      </c>
    </row>
    <row r="2" customFormat="false" ht="15" hidden="false" customHeight="false" outlineLevel="0" collapsed="false">
      <c r="A2" s="2" t="s">
        <v>106</v>
      </c>
    </row>
    <row r="4" customFormat="false" ht="42" hidden="false" customHeight="true" outlineLevel="0" collapsed="false">
      <c r="A4" s="5" t="s">
        <v>18</v>
      </c>
      <c r="B4" s="5" t="s">
        <v>107</v>
      </c>
      <c r="C4" s="5" t="s">
        <v>108</v>
      </c>
      <c r="D4" s="5" t="s">
        <v>109</v>
      </c>
      <c r="E4" s="5" t="s">
        <v>110</v>
      </c>
      <c r="F4" s="5" t="s">
        <v>111</v>
      </c>
      <c r="G4" s="5" t="s">
        <v>112</v>
      </c>
      <c r="H4" s="5" t="s">
        <v>113</v>
      </c>
      <c r="I4" s="5" t="s">
        <v>114</v>
      </c>
    </row>
    <row r="5" customFormat="false" ht="15" hidden="false" customHeight="false" outlineLevel="0" collapsed="false">
      <c r="A5" s="14" t="str">
        <f aca="false">Inputs!A26</f>
        <v>Lager 60cl bottle</v>
      </c>
      <c r="B5" s="6" t="n">
        <f aca="false">_xlfn.MAXIFS(Allocation!$AA$5:$AA$34,Allocation!$A$5:$A$34,A5)</f>
        <v>0</v>
      </c>
      <c r="C5" s="14" t="str">
        <f aca="false">IF(B5&gt;0,INDEX(Allocation!$B$5:$B$34,MATCH(A5&amp;"|"&amp;B5,Allocation!$AC$5:$AC$34,0)),"–")</f>
        <v>–</v>
      </c>
      <c r="D5" s="6" t="n">
        <f aca="false">_xlfn.MAXIFS(Allocation!$AB$5:$AB$34,Allocation!$A$5:$A$34,A5)</f>
        <v>0</v>
      </c>
      <c r="E5" s="14" t="str">
        <f aca="false">IF(D5&gt;0,INDEX(Allocation!$B$5:$B$34,MATCH(A5&amp;"|"&amp;D5,Allocation!$AD$5:$AD$34,0)),"–")</f>
        <v>–</v>
      </c>
      <c r="F5" s="8" t="str">
        <f aca="false">IF(D5&gt;0,INDEX(Allocation!$V$5:$V$34,MATCH(A5&amp;"|"&amp;D5,Allocation!$AD$5:$AD$34,0)),"–")</f>
        <v>–</v>
      </c>
      <c r="G5" s="14" t="n">
        <f aca="false">Inputs!$B$12</f>
        <v>2</v>
      </c>
      <c r="H5" s="14" t="str">
        <f aca="false">IF(OR(B5=0,D5=0),"No transfer needed",IF(B5&lt;D5,"No: excess too small to cover shortfall",IF(G5&gt;F5,"No: would arrive after stockout","Transfer")))</f>
        <v>No transfer needed</v>
      </c>
      <c r="I5" s="6" t="n">
        <f aca="false">IF(H5="Transfer",D5,0)</f>
        <v>0</v>
      </c>
    </row>
    <row r="6" customFormat="false" ht="15" hidden="false" customHeight="false" outlineLevel="0" collapsed="false">
      <c r="A6" s="14" t="str">
        <f aca="false">Inputs!A27</f>
        <v>Lager 33cl can</v>
      </c>
      <c r="B6" s="6" t="n">
        <f aca="false">_xlfn.MAXIFS(Allocation!$AA$5:$AA$34,Allocation!$A$5:$A$34,A6)</f>
        <v>0</v>
      </c>
      <c r="C6" s="14" t="str">
        <f aca="false">IF(B6&gt;0,INDEX(Allocation!$B$5:$B$34,MATCH(A6&amp;"|"&amp;B6,Allocation!$AC$5:$AC$34,0)),"–")</f>
        <v>–</v>
      </c>
      <c r="D6" s="6" t="n">
        <f aca="false">_xlfn.MAXIFS(Allocation!$AB$5:$AB$34,Allocation!$A$5:$A$34,A6)</f>
        <v>0</v>
      </c>
      <c r="E6" s="14" t="str">
        <f aca="false">IF(D6&gt;0,INDEX(Allocation!$B$5:$B$34,MATCH(A6&amp;"|"&amp;D6,Allocation!$AD$5:$AD$34,0)),"–")</f>
        <v>–</v>
      </c>
      <c r="F6" s="8" t="str">
        <f aca="false">IF(D6&gt;0,INDEX(Allocation!$V$5:$V$34,MATCH(A6&amp;"|"&amp;D6,Allocation!$AD$5:$AD$34,0)),"–")</f>
        <v>–</v>
      </c>
      <c r="G6" s="14" t="n">
        <f aca="false">Inputs!$B$12</f>
        <v>2</v>
      </c>
      <c r="H6" s="14" t="str">
        <f aca="false">IF(OR(B6=0,D6=0),"No transfer needed",IF(B6&lt;D6,"No: excess too small to cover shortfall",IF(G6&gt;F6,"No: would arrive after stockout","Transfer")))</f>
        <v>No transfer needed</v>
      </c>
      <c r="I6" s="6" t="n">
        <f aca="false">IF(H6="Transfer",D6,0)</f>
        <v>0</v>
      </c>
    </row>
    <row r="7" customFormat="false" ht="15" hidden="false" customHeight="false" outlineLevel="0" collapsed="false">
      <c r="A7" s="14" t="str">
        <f aca="false">Inputs!A28</f>
        <v>Malt drink 33cl can</v>
      </c>
      <c r="B7" s="6" t="n">
        <f aca="false">_xlfn.MAXIFS(Allocation!$AA$5:$AA$34,Allocation!$A$5:$A$34,A7)</f>
        <v>1422</v>
      </c>
      <c r="C7" s="14" t="str">
        <f aca="false">IF(B7&gt;0,INDEX(Allocation!$B$5:$B$34,MATCH(A7&amp;"|"&amp;B7,Allocation!$AC$5:$AC$34,0)),"–")</f>
        <v>Depot Coastal</v>
      </c>
      <c r="D7" s="6" t="n">
        <f aca="false">_xlfn.MAXIFS(Allocation!$AB$5:$AB$34,Allocation!$A$5:$A$34,A7)</f>
        <v>53</v>
      </c>
      <c r="E7" s="14" t="str">
        <f aca="false">IF(D7&gt;0,INDEX(Allocation!$B$5:$B$34,MATCH(A7&amp;"|"&amp;D7,Allocation!$AD$5:$AD$34,0)),"–")</f>
        <v>Depot North</v>
      </c>
      <c r="F7" s="8" t="n">
        <f aca="false">IF(D7&gt;0,INDEX(Allocation!$V$5:$V$34,MATCH(A7&amp;"|"&amp;D7,Allocation!$AD$5:$AD$34,0)),"–")</f>
        <v>6.78189300411523</v>
      </c>
      <c r="G7" s="14" t="n">
        <f aca="false">Inputs!$B$12</f>
        <v>2</v>
      </c>
      <c r="H7" s="14" t="str">
        <f aca="false">IF(OR(B7=0,D7=0),"No transfer needed",IF(B7&lt;D7,"No: excess too small to cover shortfall",IF(G7&gt;F7,"No: would arrive after stockout","Transfer")))</f>
        <v>Transfer</v>
      </c>
      <c r="I7" s="6" t="n">
        <f aca="false">IF(H7="Transfer",D7,0)</f>
        <v>53</v>
      </c>
    </row>
    <row r="8" customFormat="false" ht="15" hidden="false" customHeight="false" outlineLevel="0" collapsed="false">
      <c r="A8" s="14" t="str">
        <f aca="false">Inputs!A29</f>
        <v>Stout 60cl bottle</v>
      </c>
      <c r="B8" s="6" t="n">
        <f aca="false">_xlfn.MAXIFS(Allocation!$AA$5:$AA$34,Allocation!$A$5:$A$34,A8)</f>
        <v>1965</v>
      </c>
      <c r="C8" s="14" t="str">
        <f aca="false">IF(B8&gt;0,INDEX(Allocation!$B$5:$B$34,MATCH(A8&amp;"|"&amp;B8,Allocation!$AC$5:$AC$34,0)),"–")</f>
        <v>Depot North</v>
      </c>
      <c r="D8" s="6" t="n">
        <f aca="false">_xlfn.MAXIFS(Allocation!$AB$5:$AB$34,Allocation!$A$5:$A$34,A8)</f>
        <v>0</v>
      </c>
      <c r="E8" s="14" t="str">
        <f aca="false">IF(D8&gt;0,INDEX(Allocation!$B$5:$B$34,MATCH(A8&amp;"|"&amp;D8,Allocation!$AD$5:$AD$34,0)),"–")</f>
        <v>–</v>
      </c>
      <c r="F8" s="8" t="str">
        <f aca="false">IF(D8&gt;0,INDEX(Allocation!$V$5:$V$34,MATCH(A8&amp;"|"&amp;D8,Allocation!$AD$5:$AD$34,0)),"–")</f>
        <v>–</v>
      </c>
      <c r="G8" s="14" t="n">
        <f aca="false">Inputs!$B$12</f>
        <v>2</v>
      </c>
      <c r="H8" s="14" t="str">
        <f aca="false">IF(OR(B8=0,D8=0),"No transfer needed",IF(B8&lt;D8,"No: excess too small to cover shortfall",IF(G8&gt;F8,"No: would arrive after stockout","Transfer")))</f>
        <v>No transfer needed</v>
      </c>
      <c r="I8" s="6" t="n">
        <f aca="false">IF(H8="Transfer",D8,0)</f>
        <v>0</v>
      </c>
    </row>
    <row r="9" customFormat="false" ht="15" hidden="false" customHeight="false" outlineLevel="0" collapsed="false">
      <c r="A9" s="14" t="str">
        <f aca="false">Inputs!A30</f>
        <v>Premium lager 33cl bottle</v>
      </c>
      <c r="B9" s="6" t="n">
        <f aca="false">_xlfn.MAXIFS(Allocation!$AA$5:$AA$34,Allocation!$A$5:$A$34,A9)</f>
        <v>576</v>
      </c>
      <c r="C9" s="14" t="str">
        <f aca="false">IF(B9&gt;0,INDEX(Allocation!$B$5:$B$34,MATCH(A9&amp;"|"&amp;B9,Allocation!$AC$5:$AC$34,0)),"–")</f>
        <v>Depot Coastal</v>
      </c>
      <c r="D9" s="6" t="n">
        <f aca="false">_xlfn.MAXIFS(Allocation!$AB$5:$AB$34,Allocation!$A$5:$A$34,A9)</f>
        <v>0</v>
      </c>
      <c r="E9" s="14" t="str">
        <f aca="false">IF(D9&gt;0,INDEX(Allocation!$B$5:$B$34,MATCH(A9&amp;"|"&amp;D9,Allocation!$AD$5:$AD$34,0)),"–")</f>
        <v>–</v>
      </c>
      <c r="F9" s="8" t="str">
        <f aca="false">IF(D9&gt;0,INDEX(Allocation!$V$5:$V$34,MATCH(A9&amp;"|"&amp;D9,Allocation!$AD$5:$AD$34,0)),"–")</f>
        <v>–</v>
      </c>
      <c r="G9" s="14" t="n">
        <f aca="false">Inputs!$B$12</f>
        <v>2</v>
      </c>
      <c r="H9" s="14" t="str">
        <f aca="false">IF(OR(B9=0,D9=0),"No transfer needed",IF(B9&lt;D9,"No: excess too small to cover shortfall",IF(G9&gt;F9,"No: would arrive after stockout","Transfer")))</f>
        <v>No transfer needed</v>
      </c>
      <c r="I9" s="6" t="n">
        <f aca="false">IF(H9="Transfer",D9,0)</f>
        <v>0</v>
      </c>
    </row>
    <row r="10" customFormat="false" ht="15" hidden="false" customHeight="false" outlineLevel="0" collapsed="false">
      <c r="A10" s="14" t="str">
        <f aca="false">Inputs!A31</f>
        <v>Shandy 33cl can</v>
      </c>
      <c r="B10" s="6" t="n">
        <f aca="false">_xlfn.MAXIFS(Allocation!$AA$5:$AA$34,Allocation!$A$5:$A$34,A10)</f>
        <v>0</v>
      </c>
      <c r="C10" s="14" t="str">
        <f aca="false">IF(B10&gt;0,INDEX(Allocation!$B$5:$B$34,MATCH(A10&amp;"|"&amp;B10,Allocation!$AC$5:$AC$34,0)),"–")</f>
        <v>–</v>
      </c>
      <c r="D10" s="6" t="n">
        <f aca="false">_xlfn.MAXIFS(Allocation!$AB$5:$AB$34,Allocation!$A$5:$A$34,A10)</f>
        <v>0</v>
      </c>
      <c r="E10" s="14" t="str">
        <f aca="false">IF(D10&gt;0,INDEX(Allocation!$B$5:$B$34,MATCH(A10&amp;"|"&amp;D10,Allocation!$AD$5:$AD$34,0)),"–")</f>
        <v>–</v>
      </c>
      <c r="F10" s="8" t="str">
        <f aca="false">IF(D10&gt;0,INDEX(Allocation!$V$5:$V$34,MATCH(A10&amp;"|"&amp;D10,Allocation!$AD$5:$AD$34,0)),"–")</f>
        <v>–</v>
      </c>
      <c r="G10" s="14" t="n">
        <f aca="false">Inputs!$B$12</f>
        <v>2</v>
      </c>
      <c r="H10" s="14" t="str">
        <f aca="false">IF(OR(B10=0,D10=0),"No transfer needed",IF(B10&lt;D10,"No: excess too small to cover shortfall",IF(G10&gt;F10,"No: would arrive after stockout","Transfer")))</f>
        <v>No transfer needed</v>
      </c>
      <c r="I10" s="6" t="n">
        <f aca="false">IF(H10="Transfer",D10,0)</f>
        <v>0</v>
      </c>
    </row>
  </sheetData>
  <conditionalFormatting sqref="H5:H10">
    <cfRule type="cellIs" priority="2" operator="equal" aboveAverage="0" equalAverage="0" bottom="0" percent="0" rank="0" text="" dxfId="1">
      <formula>"Transfer"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2026-10-04T23:01:28Z</dcterms:created>
  <dc:creator>openpyxl</dc:creator>
  <dc:description/>
  <dc:language>en-US</dc:language>
  <cp:lastModifiedBy/>
  <dcterms:modified xsi:type="dcterms:W3CDTF">2026-10-04T23:01:28Z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